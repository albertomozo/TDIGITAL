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cion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Analisi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&quot;%&quot;"/>
    <numFmt numFmtId="166" formatCode="0.0%"/>
    <numFmt numFmtId="167" formatCode="0.0 ⭐"/>
    <numFmt numFmtId="168" formatCode="#,##0 clientes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595959"/>
      <sz val="11"/>
    </font>
    <font>
      <name val="Arial"/>
      <b val="1"/>
      <color rgb="001F4E79"/>
      <sz val="11"/>
    </font>
    <font>
      <name val="Arial"/>
      <b val="1"/>
      <color rgb="00C55A11"/>
      <sz val="11"/>
    </font>
    <font>
      <name val="Arial"/>
      <b val="1"/>
      <color rgb="001F4E79"/>
      <sz val="12"/>
    </font>
    <font>
      <name val="Arial"/>
      <b val="1"/>
      <color rgb="00C55A11"/>
      <sz val="12"/>
    </font>
    <font>
      <name val="Arial"/>
      <b val="1"/>
      <color rgb="00375623"/>
      <sz val="12"/>
    </font>
    <font>
      <name val="Arial"/>
      <b val="1"/>
      <color rgb="00375623"/>
      <sz val="11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1F4E79"/>
      <sz val="18"/>
    </font>
    <font>
      <name val="Arial"/>
      <b val="1"/>
      <color rgb="00C55A11"/>
      <sz val="18"/>
    </font>
    <font>
      <name val="Arial"/>
      <b val="1"/>
      <color rgb="00375623"/>
      <sz val="18"/>
    </font>
    <font>
      <name val="Arial"/>
      <b val="1"/>
      <color rgb="002E75B6"/>
      <sz val="18"/>
    </font>
    <font>
      <name val="Arial"/>
      <i val="1"/>
      <color rgb="001F4E7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4E79"/>
      </left>
      <right style="medium">
        <color rgb="001F4E79"/>
      </right>
      <bottom style="medium">
        <color rgb="001F4E79"/>
      </bottom>
    </border>
    <border>
      <bottom style="thin">
        <color rgb="001F4E79"/>
      </bottom>
    </border>
    <border>
      <left style="medium">
        <color rgb="00C55A11"/>
      </left>
      <right style="medium">
        <color rgb="00C55A11"/>
      </right>
      <bottom style="medium">
        <color rgb="00C55A11"/>
      </bottom>
    </border>
    <border>
      <bottom style="thin">
        <color rgb="00C55A11"/>
      </bottom>
    </border>
    <border>
      <left style="medium">
        <color rgb="00375623"/>
      </left>
      <right style="medium">
        <color rgb="00375623"/>
      </right>
      <bottom style="medium">
        <color rgb="00375623"/>
      </bottom>
    </border>
    <border>
      <bottom style="thin">
        <color rgb="00375623"/>
      </bottom>
    </border>
    <border>
      <left style="medium">
        <color rgb="002E75B6"/>
      </left>
      <right style="medium">
        <color rgb="002E75B6"/>
      </right>
      <bottom style="medium">
        <color rgb="002E75B6"/>
      </bottom>
    </border>
    <border>
      <bottom style="thin">
        <color rgb="002E75B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6" borderId="0" pivotButton="0" quotePrefix="0" xfId="0"/>
    <xf numFmtId="0" fontId="8" fillId="7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9" fillId="9" borderId="0" pivotButton="0" quotePrefix="0" xfId="0"/>
    <xf numFmtId="0" fontId="3" fillId="10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right" vertical="center"/>
    </xf>
    <xf numFmtId="3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3" fontId="13" fillId="4" borderId="2" applyAlignment="1" pivotButton="0" quotePrefix="0" xfId="0">
      <alignment horizontal="center" vertical="center"/>
    </xf>
    <xf numFmtId="167" fontId="14" fillId="4" borderId="4" applyAlignment="1" pivotButton="0" quotePrefix="0" xfId="0">
      <alignment horizontal="center" vertical="center"/>
    </xf>
    <xf numFmtId="168" fontId="15" fillId="4" borderId="6" applyAlignment="1" pivotButton="0" quotePrefix="0" xfId="0">
      <alignment horizontal="center" vertical="center"/>
    </xf>
    <xf numFmtId="9" fontId="16" fillId="4" borderId="8" applyAlignment="1" pivotButton="0" quotePrefix="0" xfId="0">
      <alignment horizontal="center" vertical="center"/>
    </xf>
    <xf numFmtId="0" fontId="0" fillId="2" borderId="3" pivotButton="0" quotePrefix="0" xfId="0"/>
    <xf numFmtId="0" fontId="0" fillId="8" borderId="5" pivotButton="0" quotePrefix="0" xfId="0"/>
    <xf numFmtId="0" fontId="0" fillId="10" borderId="7" pivotButton="0" quotePrefix="0" xfId="0"/>
    <xf numFmtId="0" fontId="0" fillId="3" borderId="9" pivotButton="0" quotePrefix="0" xfId="0"/>
    <xf numFmtId="0" fontId="1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 (COP)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'Analisis'!$A$6:$A$10</f>
            </numRef>
          </cat>
          <val>
            <numRef>
              <f>'Analisis'!$C$6:$C$10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Ingresos COP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Satisfacción Promedio por Producto (1-5)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'Analisis'!$E$6:$E$10</f>
            </numRef>
          </cat>
          <val>
            <numRef>
              <f>'Analisis'!$F$6:$F$10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Calificación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vs. Costos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'Analisis'!$A$15:$A$16</f>
            </numRef>
          </cat>
          <val>
            <numRef>
              <f>'Analisis'!$B$15:$B$16</f>
            </numRef>
          </val>
        </ser>
        <ser>
          <idx val="1"/>
          <order val="1"/>
          <tx>
            <strRef>
              <f>'Analisis'!C14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'Analisis'!$A$15:$A$16</f>
            </numRef>
          </cat>
          <val>
            <numRef>
              <f>'Analisis'!$C$15:$C$16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por Franja Horaria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'Analisis'!$E$15:$E$19</f>
            </numRef>
          </cat>
          <val>
            <numRef>
              <f>'Analisis'!$F$15:$F$19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9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0" customWidth="1" min="4" max="4"/>
    <col width="14" customWidth="1" min="5" max="5"/>
    <col width="35" customWidth="1" min="6" max="6"/>
  </cols>
  <sheetData>
    <row r="1" ht="32" customHeight="1">
      <c r="A1" s="1" t="inlineStr">
        <is>
          <t>☕  CaféDigital — Encuesta de Satisfacción de Clientes</t>
        </is>
      </c>
    </row>
    <row r="2" ht="18" customHeight="1">
      <c r="A2" s="2" t="inlineStr">
        <is>
          <t>Módulo 1 · Fuente: Formulario Google Forms / Microsoft Forms</t>
        </is>
      </c>
    </row>
    <row r="3" ht="8" customHeight="1"/>
    <row r="4" ht="22" customHeight="1">
      <c r="A4" s="3" t="inlineStr">
        <is>
          <t>Fecha</t>
        </is>
      </c>
      <c r="B4" s="3" t="inlineStr">
        <is>
          <t>Hora</t>
        </is>
      </c>
      <c r="C4" s="3" t="inlineStr">
        <is>
          <t>Producto</t>
        </is>
      </c>
      <c r="D4" s="3" t="inlineStr">
        <is>
          <t>Calificacion (1-5)</t>
        </is>
      </c>
      <c r="E4" s="3" t="inlineStr">
        <is>
          <t>Regresaria</t>
        </is>
      </c>
      <c r="F4" s="3" t="inlineStr">
        <is>
          <t>Comentario</t>
        </is>
      </c>
    </row>
    <row r="5" ht="18" customHeight="1">
      <c r="A5" s="4" t="inlineStr">
        <is>
          <t>01/03/2024</t>
        </is>
      </c>
      <c r="B5" s="4" t="inlineStr">
        <is>
          <t>10:00</t>
        </is>
      </c>
      <c r="C5" s="5" t="inlineStr">
        <is>
          <t>Sándwich</t>
        </is>
      </c>
      <c r="D5" s="4" t="n">
        <v>3</v>
      </c>
      <c r="E5" s="4" t="inlineStr">
        <is>
          <t>Sí</t>
        </is>
      </c>
      <c r="F5" s="5" t="inlineStr">
        <is>
          <t>Podría mejorar</t>
        </is>
      </c>
    </row>
    <row r="6" ht="18" customHeight="1">
      <c r="A6" s="6" t="inlineStr">
        <is>
          <t>02/03/2024</t>
        </is>
      </c>
      <c r="B6" s="6" t="inlineStr">
        <is>
          <t>18:30</t>
        </is>
      </c>
      <c r="C6" s="7" t="inlineStr">
        <is>
          <t>Capuchino</t>
        </is>
      </c>
      <c r="D6" s="6" t="n">
        <v>4</v>
      </c>
      <c r="E6" s="6" t="inlineStr">
        <is>
          <t>Sí</t>
        </is>
      </c>
      <c r="F6" s="7" t="inlineStr">
        <is>
          <t>Me encantó</t>
        </is>
      </c>
    </row>
    <row r="7" ht="18" customHeight="1">
      <c r="A7" s="4" t="inlineStr">
        <is>
          <t>03/03/2024</t>
        </is>
      </c>
      <c r="B7" s="4" t="inlineStr">
        <is>
          <t>07:45</t>
        </is>
      </c>
      <c r="C7" s="5" t="inlineStr">
        <is>
          <t>Torta de chocolate</t>
        </is>
      </c>
      <c r="D7" s="4" t="n">
        <v>3</v>
      </c>
      <c r="E7" s="4" t="inlineStr">
        <is>
          <t>Sí</t>
        </is>
      </c>
      <c r="F7" s="5" t="inlineStr">
        <is>
          <t>Nada especial</t>
        </is>
      </c>
    </row>
    <row r="8" ht="18" customHeight="1">
      <c r="A8" s="6" t="inlineStr">
        <is>
          <t>04/03/2024</t>
        </is>
      </c>
      <c r="B8" s="6" t="inlineStr">
        <is>
          <t>16:00</t>
        </is>
      </c>
      <c r="C8" s="7" t="inlineStr">
        <is>
          <t>Café expreso</t>
        </is>
      </c>
      <c r="D8" s="6" t="n">
        <v>4</v>
      </c>
      <c r="E8" s="6" t="inlineStr">
        <is>
          <t>Sí</t>
        </is>
      </c>
      <c r="F8" s="7" t="inlineStr">
        <is>
          <t>Todo perfecto</t>
        </is>
      </c>
    </row>
    <row r="9" ht="18" customHeight="1">
      <c r="A9" s="4" t="inlineStr">
        <is>
          <t>05/03/2024</t>
        </is>
      </c>
      <c r="B9" s="4" t="inlineStr">
        <is>
          <t>18:00</t>
        </is>
      </c>
      <c r="C9" s="5" t="inlineStr">
        <is>
          <t>Café expreso</t>
        </is>
      </c>
      <c r="D9" s="4" t="n">
        <v>4</v>
      </c>
      <c r="E9" s="4" t="inlineStr">
        <is>
          <t>Sí</t>
        </is>
      </c>
      <c r="F9" s="5" t="inlineStr">
        <is>
          <t>Me encantó</t>
        </is>
      </c>
    </row>
    <row r="10" ht="18" customHeight="1">
      <c r="A10" s="6" t="inlineStr">
        <is>
          <t>06/03/2024</t>
        </is>
      </c>
      <c r="B10" s="6" t="inlineStr">
        <is>
          <t>10:30</t>
        </is>
      </c>
      <c r="C10" s="7" t="inlineStr">
        <is>
          <t>Té frío</t>
        </is>
      </c>
      <c r="D10" s="6" t="n">
        <v>4</v>
      </c>
      <c r="E10" s="6" t="inlineStr">
        <is>
          <t>Sí</t>
        </is>
      </c>
      <c r="F10" s="7" t="inlineStr">
        <is>
          <t>Todo perfecto</t>
        </is>
      </c>
    </row>
    <row r="11" ht="18" customHeight="1">
      <c r="A11" s="4" t="inlineStr">
        <is>
          <t>07/03/2024</t>
        </is>
      </c>
      <c r="B11" s="4" t="inlineStr">
        <is>
          <t>18:00</t>
        </is>
      </c>
      <c r="C11" s="5" t="inlineStr">
        <is>
          <t>Sándwich</t>
        </is>
      </c>
      <c r="D11" s="4" t="n">
        <v>3</v>
      </c>
      <c r="E11" s="4" t="inlineStr">
        <is>
          <t>Sí</t>
        </is>
      </c>
      <c r="F11" s="5" t="inlineStr">
        <is>
          <t>El sándwich estaba frío</t>
        </is>
      </c>
    </row>
    <row r="12" ht="18" customHeight="1">
      <c r="A12" s="6" t="inlineStr">
        <is>
          <t>08/03/2024</t>
        </is>
      </c>
      <c r="B12" s="6" t="inlineStr">
        <is>
          <t>11:30</t>
        </is>
      </c>
      <c r="C12" s="7" t="inlineStr">
        <is>
          <t>Capuchino</t>
        </is>
      </c>
      <c r="D12" s="6" t="n">
        <v>5</v>
      </c>
      <c r="E12" s="6" t="inlineStr">
        <is>
          <t>Sí</t>
        </is>
      </c>
      <c r="F12" s="7" t="inlineStr">
        <is>
          <t>Excelente atención</t>
        </is>
      </c>
    </row>
    <row r="13" ht="18" customHeight="1">
      <c r="A13" s="4" t="inlineStr">
        <is>
          <t>09/03/2024</t>
        </is>
      </c>
      <c r="B13" s="4" t="inlineStr">
        <is>
          <t>12:00</t>
        </is>
      </c>
      <c r="C13" s="5" t="inlineStr">
        <is>
          <t>Café expreso</t>
        </is>
      </c>
      <c r="D13" s="4" t="n">
        <v>5</v>
      </c>
      <c r="E13" s="4" t="inlineStr">
        <is>
          <t>Sí</t>
        </is>
      </c>
      <c r="F13" s="5" t="inlineStr">
        <is>
          <t>Rico y rápido</t>
        </is>
      </c>
    </row>
    <row r="14" ht="18" customHeight="1">
      <c r="A14" s="6" t="inlineStr">
        <is>
          <t>10/03/2024</t>
        </is>
      </c>
      <c r="B14" s="6" t="inlineStr">
        <is>
          <t>13:00</t>
        </is>
      </c>
      <c r="C14" s="7" t="inlineStr">
        <is>
          <t>Sándwich</t>
        </is>
      </c>
      <c r="D14" s="6" t="n">
        <v>3</v>
      </c>
      <c r="E14" s="6" t="inlineStr">
        <is>
          <t>Sí</t>
        </is>
      </c>
      <c r="F14" s="7" t="inlineStr"/>
    </row>
    <row r="15" ht="18" customHeight="1">
      <c r="A15" s="4" t="inlineStr">
        <is>
          <t>11/03/2024</t>
        </is>
      </c>
      <c r="B15" s="4" t="inlineStr">
        <is>
          <t>08:10</t>
        </is>
      </c>
      <c r="C15" s="5" t="inlineStr">
        <is>
          <t>Té frío</t>
        </is>
      </c>
      <c r="D15" s="4" t="n">
        <v>2</v>
      </c>
      <c r="E15" s="4" t="inlineStr">
        <is>
          <t>No</t>
        </is>
      </c>
      <c r="F15" s="5" t="inlineStr">
        <is>
          <t>Nada especial</t>
        </is>
      </c>
    </row>
    <row r="16" ht="18" customHeight="1">
      <c r="A16" s="6" t="inlineStr">
        <is>
          <t>12/03/2024</t>
        </is>
      </c>
      <c r="B16" s="6" t="inlineStr">
        <is>
          <t>12:00</t>
        </is>
      </c>
      <c r="C16" s="7" t="inlineStr">
        <is>
          <t>Té frío</t>
        </is>
      </c>
      <c r="D16" s="6" t="n">
        <v>3</v>
      </c>
      <c r="E16" s="6" t="inlineStr">
        <is>
          <t>Sí</t>
        </is>
      </c>
      <c r="F16" s="7" t="inlineStr">
        <is>
          <t>Regular</t>
        </is>
      </c>
    </row>
    <row r="17" ht="18" customHeight="1">
      <c r="A17" s="4" t="inlineStr">
        <is>
          <t>13/03/2024</t>
        </is>
      </c>
      <c r="B17" s="4" t="inlineStr">
        <is>
          <t>17:30</t>
        </is>
      </c>
      <c r="C17" s="5" t="inlineStr">
        <is>
          <t>Té frío</t>
        </is>
      </c>
      <c r="D17" s="4" t="n">
        <v>4</v>
      </c>
      <c r="E17" s="4" t="inlineStr">
        <is>
          <t>Sí</t>
        </is>
      </c>
      <c r="F17" s="5" t="inlineStr">
        <is>
          <t>Muy buen café</t>
        </is>
      </c>
    </row>
    <row r="18" ht="18" customHeight="1">
      <c r="A18" s="6" t="inlineStr">
        <is>
          <t>14/03/2024</t>
        </is>
      </c>
      <c r="B18" s="6" t="inlineStr">
        <is>
          <t>10:00</t>
        </is>
      </c>
      <c r="C18" s="7" t="inlineStr">
        <is>
          <t>Capuchino</t>
        </is>
      </c>
      <c r="D18" s="6" t="n">
        <v>5</v>
      </c>
      <c r="E18" s="6" t="inlineStr">
        <is>
          <t>Sí</t>
        </is>
      </c>
      <c r="F18" s="7" t="inlineStr">
        <is>
          <t>Muy buen café</t>
        </is>
      </c>
    </row>
    <row r="19" ht="18" customHeight="1">
      <c r="A19" s="4" t="inlineStr">
        <is>
          <t>15/03/2024</t>
        </is>
      </c>
      <c r="B19" s="4" t="inlineStr">
        <is>
          <t>17:00</t>
        </is>
      </c>
      <c r="C19" s="5" t="inlineStr">
        <is>
          <t>Torta de chocolate</t>
        </is>
      </c>
      <c r="D19" s="4" t="n">
        <v>5</v>
      </c>
      <c r="E19" s="4" t="inlineStr">
        <is>
          <t>Sí</t>
        </is>
      </c>
      <c r="F19" s="5" t="inlineStr">
        <is>
          <t>Volveré seguro</t>
        </is>
      </c>
    </row>
    <row r="20" ht="18" customHeight="1">
      <c r="A20" s="6" t="inlineStr">
        <is>
          <t>16/03/2024</t>
        </is>
      </c>
      <c r="B20" s="6" t="inlineStr">
        <is>
          <t>09:45</t>
        </is>
      </c>
      <c r="C20" s="7" t="inlineStr">
        <is>
          <t>Sándwich</t>
        </is>
      </c>
      <c r="D20" s="6" t="n">
        <v>4</v>
      </c>
      <c r="E20" s="6" t="inlineStr">
        <is>
          <t>Sí</t>
        </is>
      </c>
      <c r="F20" s="7" t="inlineStr">
        <is>
          <t>Rico y rápido</t>
        </is>
      </c>
    </row>
    <row r="21" ht="18" customHeight="1">
      <c r="A21" s="4" t="inlineStr">
        <is>
          <t>17/03/2024</t>
        </is>
      </c>
      <c r="B21" s="4" t="inlineStr">
        <is>
          <t>17:00</t>
        </is>
      </c>
      <c r="C21" s="5" t="inlineStr">
        <is>
          <t>Sándwich</t>
        </is>
      </c>
      <c r="D21" s="4" t="n">
        <v>4</v>
      </c>
      <c r="E21" s="4" t="inlineStr">
        <is>
          <t>Sí</t>
        </is>
      </c>
      <c r="F21" s="5" t="inlineStr">
        <is>
          <t>Me encantó</t>
        </is>
      </c>
    </row>
    <row r="22" ht="18" customHeight="1">
      <c r="A22" s="6" t="inlineStr">
        <is>
          <t>18/03/2024</t>
        </is>
      </c>
      <c r="B22" s="6" t="inlineStr">
        <is>
          <t>18:30</t>
        </is>
      </c>
      <c r="C22" s="7" t="inlineStr">
        <is>
          <t>Café expreso</t>
        </is>
      </c>
      <c r="D22" s="6" t="n">
        <v>4</v>
      </c>
      <c r="E22" s="6" t="inlineStr">
        <is>
          <t>Sí</t>
        </is>
      </c>
      <c r="F22" s="7" t="inlineStr">
        <is>
          <t>Todo perfecto</t>
        </is>
      </c>
    </row>
    <row r="23" ht="18" customHeight="1">
      <c r="A23" s="4" t="inlineStr">
        <is>
          <t>19/03/2024</t>
        </is>
      </c>
      <c r="B23" s="4" t="inlineStr">
        <is>
          <t>17:00</t>
        </is>
      </c>
      <c r="C23" s="5" t="inlineStr">
        <is>
          <t>Capuchino</t>
        </is>
      </c>
      <c r="D23" s="4" t="n">
        <v>5</v>
      </c>
      <c r="E23" s="4" t="inlineStr">
        <is>
          <t>Sí</t>
        </is>
      </c>
      <c r="F23" s="5" t="inlineStr">
        <is>
          <t>Rico y rápido</t>
        </is>
      </c>
    </row>
    <row r="24" ht="18" customHeight="1">
      <c r="A24" s="6" t="inlineStr">
        <is>
          <t>20/03/2024</t>
        </is>
      </c>
      <c r="B24" s="6" t="inlineStr">
        <is>
          <t>07:45</t>
        </is>
      </c>
      <c r="C24" s="7" t="inlineStr">
        <is>
          <t>Sándwich</t>
        </is>
      </c>
      <c r="D24" s="6" t="n">
        <v>4</v>
      </c>
      <c r="E24" s="6" t="inlineStr">
        <is>
          <t>Sí</t>
        </is>
      </c>
      <c r="F24" s="7" t="inlineStr">
        <is>
          <t>Rico y rápido</t>
        </is>
      </c>
    </row>
    <row r="25" ht="18" customHeight="1">
      <c r="A25" s="4" t="inlineStr">
        <is>
          <t>21/03/2024</t>
        </is>
      </c>
      <c r="B25" s="4" t="inlineStr">
        <is>
          <t>12:15</t>
        </is>
      </c>
      <c r="C25" s="5" t="inlineStr">
        <is>
          <t>Capuchino</t>
        </is>
      </c>
      <c r="D25" s="4" t="n">
        <v>3</v>
      </c>
      <c r="E25" s="4" t="inlineStr">
        <is>
          <t>Sí</t>
        </is>
      </c>
      <c r="F25" s="5" t="inlineStr">
        <is>
          <t>Podría mejorar</t>
        </is>
      </c>
    </row>
    <row r="26" ht="18" customHeight="1">
      <c r="A26" s="6" t="inlineStr">
        <is>
          <t>22/03/2024</t>
        </is>
      </c>
      <c r="B26" s="6" t="inlineStr">
        <is>
          <t>18:00</t>
        </is>
      </c>
      <c r="C26" s="7" t="inlineStr">
        <is>
          <t>Capuchino</t>
        </is>
      </c>
      <c r="D26" s="6" t="n">
        <v>4</v>
      </c>
      <c r="E26" s="6" t="inlineStr">
        <is>
          <t>Sí</t>
        </is>
      </c>
      <c r="F26" s="7" t="inlineStr">
        <is>
          <t>Todo perfecto</t>
        </is>
      </c>
    </row>
    <row r="27" ht="18" customHeight="1">
      <c r="A27" s="4" t="inlineStr">
        <is>
          <t>23/03/2024</t>
        </is>
      </c>
      <c r="B27" s="4" t="inlineStr">
        <is>
          <t>17:00</t>
        </is>
      </c>
      <c r="C27" s="5" t="inlineStr">
        <is>
          <t>Capuchino</t>
        </is>
      </c>
      <c r="D27" s="4" t="n">
        <v>4</v>
      </c>
      <c r="E27" s="4" t="inlineStr">
        <is>
          <t>Sí</t>
        </is>
      </c>
      <c r="F27" s="5" t="inlineStr">
        <is>
          <t>Volveré seguro</t>
        </is>
      </c>
    </row>
    <row r="28" ht="18" customHeight="1">
      <c r="A28" s="6" t="inlineStr">
        <is>
          <t>24/03/2024</t>
        </is>
      </c>
      <c r="B28" s="6" t="inlineStr">
        <is>
          <t>18:30</t>
        </is>
      </c>
      <c r="C28" s="7" t="inlineStr">
        <is>
          <t>Té frío</t>
        </is>
      </c>
      <c r="D28" s="6" t="n">
        <v>5</v>
      </c>
      <c r="E28" s="6" t="inlineStr">
        <is>
          <t>Sí</t>
        </is>
      </c>
      <c r="F28" s="7" t="inlineStr">
        <is>
          <t>Excelente atención</t>
        </is>
      </c>
    </row>
    <row r="29" ht="18" customHeight="1">
      <c r="A29" s="4" t="inlineStr">
        <is>
          <t>25/03/2024</t>
        </is>
      </c>
      <c r="B29" s="4" t="inlineStr">
        <is>
          <t>12:45</t>
        </is>
      </c>
      <c r="C29" s="5" t="inlineStr">
        <is>
          <t>Té frío</t>
        </is>
      </c>
      <c r="D29" s="4" t="n">
        <v>5</v>
      </c>
      <c r="E29" s="4" t="inlineStr">
        <is>
          <t>Sí</t>
        </is>
      </c>
      <c r="F29" s="5" t="inlineStr">
        <is>
          <t>Todo perfecto</t>
        </is>
      </c>
    </row>
    <row r="30" ht="18" customHeight="1">
      <c r="A30" s="6" t="inlineStr">
        <is>
          <t>26/03/2024</t>
        </is>
      </c>
      <c r="B30" s="6" t="inlineStr">
        <is>
          <t>08:55</t>
        </is>
      </c>
      <c r="C30" s="7" t="inlineStr">
        <is>
          <t>Torta de chocolate</t>
        </is>
      </c>
      <c r="D30" s="6" t="n">
        <v>5</v>
      </c>
      <c r="E30" s="6" t="inlineStr">
        <is>
          <t>Sí</t>
        </is>
      </c>
      <c r="F30" s="7" t="inlineStr">
        <is>
          <t>Excelente atención</t>
        </is>
      </c>
    </row>
    <row r="31" ht="18" customHeight="1">
      <c r="A31" s="4" t="inlineStr">
        <is>
          <t>01/03/2024</t>
        </is>
      </c>
      <c r="B31" s="4" t="inlineStr">
        <is>
          <t>08:30</t>
        </is>
      </c>
      <c r="C31" s="5" t="inlineStr">
        <is>
          <t>Té frío</t>
        </is>
      </c>
      <c r="D31" s="4" t="n">
        <v>3</v>
      </c>
      <c r="E31" s="4" t="inlineStr">
        <is>
          <t>Sí</t>
        </is>
      </c>
      <c r="F31" s="5" t="inlineStr">
        <is>
          <t>Un poco lento</t>
        </is>
      </c>
    </row>
    <row r="32" ht="18" customHeight="1">
      <c r="A32" s="6" t="inlineStr">
        <is>
          <t>02/03/2024</t>
        </is>
      </c>
      <c r="B32" s="6" t="inlineStr">
        <is>
          <t>12:45</t>
        </is>
      </c>
      <c r="C32" s="7" t="inlineStr">
        <is>
          <t>Café expreso</t>
        </is>
      </c>
      <c r="D32" s="6" t="n">
        <v>4</v>
      </c>
      <c r="E32" s="6" t="inlineStr">
        <is>
          <t>Sí</t>
        </is>
      </c>
      <c r="F32" s="7" t="inlineStr">
        <is>
          <t>Me encantó</t>
        </is>
      </c>
    </row>
    <row r="33" ht="18" customHeight="1">
      <c r="A33" s="4" t="inlineStr">
        <is>
          <t>03/03/2024</t>
        </is>
      </c>
      <c r="B33" s="4" t="inlineStr">
        <is>
          <t>13:00</t>
        </is>
      </c>
      <c r="C33" s="5" t="inlineStr">
        <is>
          <t>Té frío</t>
        </is>
      </c>
      <c r="D33" s="4" t="n">
        <v>5</v>
      </c>
      <c r="E33" s="4" t="inlineStr">
        <is>
          <t>Sí</t>
        </is>
      </c>
      <c r="F33" s="5" t="inlineStr">
        <is>
          <t>Todo perfecto</t>
        </is>
      </c>
    </row>
    <row r="34" ht="18" customHeight="1">
      <c r="A34" s="6" t="inlineStr">
        <is>
          <t>04/03/2024</t>
        </is>
      </c>
      <c r="B34" s="6" t="inlineStr">
        <is>
          <t>17:30</t>
        </is>
      </c>
      <c r="C34" s="7" t="inlineStr">
        <is>
          <t>Té frío</t>
        </is>
      </c>
      <c r="D34" s="6" t="n">
        <v>2</v>
      </c>
      <c r="E34" s="6" t="inlineStr">
        <is>
          <t>No</t>
        </is>
      </c>
      <c r="F34" s="7" t="inlineStr">
        <is>
          <t>Un poco lento</t>
        </is>
      </c>
    </row>
    <row r="35" ht="18" customHeight="1">
      <c r="A35" s="4" t="inlineStr">
        <is>
          <t>05/03/2024</t>
        </is>
      </c>
      <c r="B35" s="4" t="inlineStr">
        <is>
          <t>10:30</t>
        </is>
      </c>
      <c r="C35" s="5" t="inlineStr">
        <is>
          <t>Sándwich</t>
        </is>
      </c>
      <c r="D35" s="4" t="n">
        <v>4</v>
      </c>
      <c r="E35" s="4" t="inlineStr">
        <is>
          <t>Sí</t>
        </is>
      </c>
      <c r="F35" s="5" t="inlineStr">
        <is>
          <t>Todo perfecto</t>
        </is>
      </c>
    </row>
    <row r="36" ht="18" customHeight="1">
      <c r="A36" s="6" t="inlineStr">
        <is>
          <t>06/03/2024</t>
        </is>
      </c>
      <c r="B36" s="6" t="inlineStr">
        <is>
          <t>12:45</t>
        </is>
      </c>
      <c r="C36" s="7" t="inlineStr">
        <is>
          <t>Sándwich</t>
        </is>
      </c>
      <c r="D36" s="6" t="n">
        <v>5</v>
      </c>
      <c r="E36" s="6" t="inlineStr">
        <is>
          <t>Sí</t>
        </is>
      </c>
      <c r="F36" s="7" t="inlineStr">
        <is>
          <t>Rico y rápido</t>
        </is>
      </c>
    </row>
    <row r="37" ht="18" customHeight="1">
      <c r="A37" s="4" t="inlineStr">
        <is>
          <t>07/03/2024</t>
        </is>
      </c>
      <c r="B37" s="4" t="inlineStr">
        <is>
          <t>18:30</t>
        </is>
      </c>
      <c r="C37" s="5" t="inlineStr">
        <is>
          <t>Café expreso</t>
        </is>
      </c>
      <c r="D37" s="4" t="n">
        <v>3</v>
      </c>
      <c r="E37" s="4" t="inlineStr">
        <is>
          <t>Sí</t>
        </is>
      </c>
      <c r="F37" s="5" t="inlineStr"/>
    </row>
    <row r="38" ht="18" customHeight="1">
      <c r="A38" s="6" t="inlineStr">
        <is>
          <t>08/03/2024</t>
        </is>
      </c>
      <c r="B38" s="6" t="inlineStr">
        <is>
          <t>14:00</t>
        </is>
      </c>
      <c r="C38" s="7" t="inlineStr">
        <is>
          <t>Capuchino</t>
        </is>
      </c>
      <c r="D38" s="6" t="n">
        <v>5</v>
      </c>
      <c r="E38" s="6" t="inlineStr">
        <is>
          <t>Sí</t>
        </is>
      </c>
      <c r="F38" s="7" t="inlineStr">
        <is>
          <t>Excelente atención</t>
        </is>
      </c>
    </row>
    <row r="39" ht="18" customHeight="1">
      <c r="A39" s="4" t="inlineStr">
        <is>
          <t>09/03/2024</t>
        </is>
      </c>
      <c r="B39" s="4" t="inlineStr">
        <is>
          <t>17:00</t>
        </is>
      </c>
      <c r="C39" s="5" t="inlineStr">
        <is>
          <t>Torta de chocolate</t>
        </is>
      </c>
      <c r="D39" s="4" t="n">
        <v>3</v>
      </c>
      <c r="E39" s="4" t="inlineStr">
        <is>
          <t>Sí</t>
        </is>
      </c>
      <c r="F39" s="5" t="inlineStr">
        <is>
          <t>Podría mejorar</t>
        </is>
      </c>
    </row>
    <row r="40" ht="18" customHeight="1">
      <c r="A40" s="6" t="inlineStr">
        <is>
          <t>10/03/2024</t>
        </is>
      </c>
      <c r="B40" s="6" t="inlineStr">
        <is>
          <t>09:20</t>
        </is>
      </c>
      <c r="C40" s="7" t="inlineStr">
        <is>
          <t>Té frío</t>
        </is>
      </c>
      <c r="D40" s="6" t="n">
        <v>4</v>
      </c>
      <c r="E40" s="6" t="inlineStr">
        <is>
          <t>Sí</t>
        </is>
      </c>
      <c r="F40" s="7" t="inlineStr">
        <is>
          <t>Rico y rápido</t>
        </is>
      </c>
    </row>
    <row r="41" ht="18" customHeight="1">
      <c r="A41" s="4" t="inlineStr">
        <is>
          <t>11/03/2024</t>
        </is>
      </c>
      <c r="B41" s="4" t="inlineStr">
        <is>
          <t>07:15</t>
        </is>
      </c>
      <c r="C41" s="5" t="inlineStr">
        <is>
          <t>Té frío</t>
        </is>
      </c>
      <c r="D41" s="4" t="n">
        <v>3</v>
      </c>
      <c r="E41" s="4" t="inlineStr">
        <is>
          <t>Sí</t>
        </is>
      </c>
      <c r="F41" s="5" t="inlineStr">
        <is>
          <t>Regular</t>
        </is>
      </c>
    </row>
    <row r="42" ht="18" customHeight="1">
      <c r="A42" s="6" t="inlineStr">
        <is>
          <t>12/03/2024</t>
        </is>
      </c>
      <c r="B42" s="6" t="inlineStr">
        <is>
          <t>12:00</t>
        </is>
      </c>
      <c r="C42" s="7" t="inlineStr">
        <is>
          <t>Té frío</t>
        </is>
      </c>
      <c r="D42" s="6" t="n">
        <v>5</v>
      </c>
      <c r="E42" s="6" t="inlineStr">
        <is>
          <t>Sí</t>
        </is>
      </c>
      <c r="F42" s="7" t="inlineStr">
        <is>
          <t>Muy buen café</t>
        </is>
      </c>
    </row>
    <row r="43" ht="18" customHeight="1">
      <c r="A43" s="4" t="inlineStr">
        <is>
          <t>13/03/2024</t>
        </is>
      </c>
      <c r="B43" s="4" t="inlineStr">
        <is>
          <t>10:00</t>
        </is>
      </c>
      <c r="C43" s="5" t="inlineStr">
        <is>
          <t>Torta de chocolate</t>
        </is>
      </c>
      <c r="D43" s="4" t="n">
        <v>3</v>
      </c>
      <c r="E43" s="4" t="inlineStr">
        <is>
          <t>Sí</t>
        </is>
      </c>
      <c r="F43" s="5" t="inlineStr">
        <is>
          <t>Podría mejorar</t>
        </is>
      </c>
    </row>
    <row r="44" ht="18" customHeight="1">
      <c r="A44" s="6" t="inlineStr">
        <is>
          <t>14/03/2024</t>
        </is>
      </c>
      <c r="B44" s="6" t="inlineStr">
        <is>
          <t>08:10</t>
        </is>
      </c>
      <c r="C44" s="7" t="inlineStr">
        <is>
          <t>Café expreso</t>
        </is>
      </c>
      <c r="D44" s="6" t="n">
        <v>3</v>
      </c>
      <c r="E44" s="6" t="inlineStr">
        <is>
          <t>Sí</t>
        </is>
      </c>
      <c r="F44" s="7" t="inlineStr">
        <is>
          <t>Un poco lento</t>
        </is>
      </c>
    </row>
    <row r="45" ht="18" customHeight="1">
      <c r="A45" s="4" t="inlineStr">
        <is>
          <t>15/03/2024</t>
        </is>
      </c>
      <c r="B45" s="4" t="inlineStr">
        <is>
          <t>08:55</t>
        </is>
      </c>
      <c r="C45" s="5" t="inlineStr">
        <is>
          <t>Sándwich</t>
        </is>
      </c>
      <c r="D45" s="4" t="n">
        <v>3</v>
      </c>
      <c r="E45" s="4" t="inlineStr">
        <is>
          <t>Sí</t>
        </is>
      </c>
      <c r="F45" s="5" t="inlineStr">
        <is>
          <t>Regular</t>
        </is>
      </c>
    </row>
    <row r="46" ht="18" customHeight="1">
      <c r="A46" s="6" t="inlineStr">
        <is>
          <t>16/03/2024</t>
        </is>
      </c>
      <c r="B46" s="6" t="inlineStr">
        <is>
          <t>09:20</t>
        </is>
      </c>
      <c r="C46" s="7" t="inlineStr">
        <is>
          <t>Café expreso</t>
        </is>
      </c>
      <c r="D46" s="6" t="n">
        <v>5</v>
      </c>
      <c r="E46" s="6" t="inlineStr">
        <is>
          <t>Sí</t>
        </is>
      </c>
      <c r="F46" s="7" t="inlineStr">
        <is>
          <t>Todo perfecto</t>
        </is>
      </c>
    </row>
    <row r="47" ht="18" customHeight="1">
      <c r="A47" s="4" t="inlineStr">
        <is>
          <t>17/03/2024</t>
        </is>
      </c>
      <c r="B47" s="4" t="inlineStr">
        <is>
          <t>09:45</t>
        </is>
      </c>
      <c r="C47" s="5" t="inlineStr">
        <is>
          <t>Capuchino</t>
        </is>
      </c>
      <c r="D47" s="4" t="n">
        <v>3</v>
      </c>
      <c r="E47" s="4" t="inlineStr">
        <is>
          <t>Sí</t>
        </is>
      </c>
      <c r="F47" s="5" t="inlineStr">
        <is>
          <t>Nada especial</t>
        </is>
      </c>
    </row>
    <row r="48" ht="18" customHeight="1">
      <c r="A48" s="6" t="inlineStr">
        <is>
          <t>18/03/2024</t>
        </is>
      </c>
      <c r="B48" s="6" t="inlineStr">
        <is>
          <t>09:45</t>
        </is>
      </c>
      <c r="C48" s="7" t="inlineStr">
        <is>
          <t>Torta de chocolate</t>
        </is>
      </c>
      <c r="D48" s="6" t="n">
        <v>4</v>
      </c>
      <c r="E48" s="6" t="inlineStr">
        <is>
          <t>Sí</t>
        </is>
      </c>
      <c r="F48" s="7" t="inlineStr">
        <is>
          <t>Me encantó</t>
        </is>
      </c>
    </row>
    <row r="49" ht="18" customHeight="1">
      <c r="A49" s="4" t="inlineStr">
        <is>
          <t>19/03/2024</t>
        </is>
      </c>
      <c r="B49" s="4" t="inlineStr">
        <is>
          <t>17:00</t>
        </is>
      </c>
      <c r="C49" s="5" t="inlineStr">
        <is>
          <t>Sándwich</t>
        </is>
      </c>
      <c r="D49" s="4" t="n">
        <v>5</v>
      </c>
      <c r="E49" s="4" t="inlineStr">
        <is>
          <t>Sí</t>
        </is>
      </c>
      <c r="F49" s="5" t="inlineStr">
        <is>
          <t>Me encantó</t>
        </is>
      </c>
    </row>
    <row r="50" ht="18" customHeight="1">
      <c r="A50" s="6" t="inlineStr">
        <is>
          <t>20/03/2024</t>
        </is>
      </c>
      <c r="B50" s="6" t="inlineStr">
        <is>
          <t>08:30</t>
        </is>
      </c>
      <c r="C50" s="7" t="inlineStr">
        <is>
          <t>Capuchino</t>
        </is>
      </c>
      <c r="D50" s="6" t="n">
        <v>2</v>
      </c>
      <c r="E50" s="6" t="inlineStr">
        <is>
          <t>No</t>
        </is>
      </c>
      <c r="F50" s="7" t="inlineStr">
        <is>
          <t>Nada especial</t>
        </is>
      </c>
    </row>
    <row r="51" ht="18" customHeight="1">
      <c r="A51" s="4" t="inlineStr">
        <is>
          <t>21/03/2024</t>
        </is>
      </c>
      <c r="B51" s="4" t="inlineStr">
        <is>
          <t>15:00</t>
        </is>
      </c>
      <c r="C51" s="5" t="inlineStr">
        <is>
          <t>Capuchino</t>
        </is>
      </c>
      <c r="D51" s="4" t="n">
        <v>3</v>
      </c>
      <c r="E51" s="4" t="inlineStr">
        <is>
          <t>Sí</t>
        </is>
      </c>
      <c r="F51" s="5" t="inlineStr">
        <is>
          <t>Un poco lento</t>
        </is>
      </c>
    </row>
    <row r="52" ht="18" customHeight="1">
      <c r="A52" s="6" t="inlineStr">
        <is>
          <t>22/03/2024</t>
        </is>
      </c>
      <c r="B52" s="6" t="inlineStr">
        <is>
          <t>08:10</t>
        </is>
      </c>
      <c r="C52" s="7" t="inlineStr">
        <is>
          <t>Té frío</t>
        </is>
      </c>
      <c r="D52" s="6" t="n">
        <v>4</v>
      </c>
      <c r="E52" s="6" t="inlineStr">
        <is>
          <t>Sí</t>
        </is>
      </c>
      <c r="F52" s="7" t="inlineStr">
        <is>
          <t>Muy buen café</t>
        </is>
      </c>
    </row>
    <row r="53" ht="18" customHeight="1">
      <c r="A53" s="4" t="inlineStr">
        <is>
          <t>23/03/2024</t>
        </is>
      </c>
      <c r="B53" s="4" t="inlineStr">
        <is>
          <t>07:45</t>
        </is>
      </c>
      <c r="C53" s="5" t="inlineStr">
        <is>
          <t>Sándwich</t>
        </is>
      </c>
      <c r="D53" s="4" t="n">
        <v>3</v>
      </c>
      <c r="E53" s="4" t="inlineStr">
        <is>
          <t>Sí</t>
        </is>
      </c>
      <c r="F53" s="5" t="inlineStr">
        <is>
          <t>Un poco lento</t>
        </is>
      </c>
    </row>
    <row r="54" ht="18" customHeight="1">
      <c r="A54" s="6" t="inlineStr">
        <is>
          <t>24/03/2024</t>
        </is>
      </c>
      <c r="B54" s="6" t="inlineStr">
        <is>
          <t>10:30</t>
        </is>
      </c>
      <c r="C54" s="7" t="inlineStr">
        <is>
          <t>Torta de chocolate</t>
        </is>
      </c>
      <c r="D54" s="6" t="n">
        <v>3</v>
      </c>
      <c r="E54" s="6" t="inlineStr">
        <is>
          <t>Sí</t>
        </is>
      </c>
      <c r="F54" s="7" t="inlineStr">
        <is>
          <t>El sándwich estaba frío</t>
        </is>
      </c>
    </row>
    <row r="55" ht="18" customHeight="1">
      <c r="A55" s="4" t="inlineStr">
        <is>
          <t>25/03/2024</t>
        </is>
      </c>
      <c r="B55" s="4" t="inlineStr">
        <is>
          <t>18:30</t>
        </is>
      </c>
      <c r="C55" s="5" t="inlineStr">
        <is>
          <t>Sándwich</t>
        </is>
      </c>
      <c r="D55" s="4" t="n">
        <v>4</v>
      </c>
      <c r="E55" s="4" t="inlineStr">
        <is>
          <t>Sí</t>
        </is>
      </c>
      <c r="F55" s="5" t="inlineStr">
        <is>
          <t>Excelente atención</t>
        </is>
      </c>
    </row>
    <row r="56" ht="18" customHeight="1">
      <c r="A56" s="6" t="inlineStr">
        <is>
          <t>26/03/2024</t>
        </is>
      </c>
      <c r="B56" s="6" t="inlineStr">
        <is>
          <t>10:00</t>
        </is>
      </c>
      <c r="C56" s="7" t="inlineStr">
        <is>
          <t>Torta de chocolate</t>
        </is>
      </c>
      <c r="D56" s="6" t="n">
        <v>4</v>
      </c>
      <c r="E56" s="6" t="inlineStr">
        <is>
          <t>Sí</t>
        </is>
      </c>
      <c r="F56" s="7" t="inlineStr">
        <is>
          <t>Volveré seguro</t>
        </is>
      </c>
    </row>
    <row r="57" ht="18" customHeight="1">
      <c r="A57" s="4" t="inlineStr">
        <is>
          <t>01/03/2024</t>
        </is>
      </c>
      <c r="B57" s="4" t="inlineStr">
        <is>
          <t>08:30</t>
        </is>
      </c>
      <c r="C57" s="5" t="inlineStr">
        <is>
          <t>Sándwich</t>
        </is>
      </c>
      <c r="D57" s="4" t="n">
        <v>3</v>
      </c>
      <c r="E57" s="4" t="inlineStr">
        <is>
          <t>Sí</t>
        </is>
      </c>
      <c r="F57" s="5" t="inlineStr">
        <is>
          <t>El sándwich estaba frío</t>
        </is>
      </c>
    </row>
    <row r="58" ht="18" customHeight="1">
      <c r="A58" s="6" t="inlineStr">
        <is>
          <t>02/03/2024</t>
        </is>
      </c>
      <c r="B58" s="6" t="inlineStr">
        <is>
          <t>12:45</t>
        </is>
      </c>
      <c r="C58" s="7" t="inlineStr">
        <is>
          <t>Café expreso</t>
        </is>
      </c>
      <c r="D58" s="6" t="n">
        <v>5</v>
      </c>
      <c r="E58" s="6" t="inlineStr">
        <is>
          <t>Sí</t>
        </is>
      </c>
      <c r="F58" s="7" t="inlineStr">
        <is>
          <t>Volveré seguro</t>
        </is>
      </c>
    </row>
    <row r="59" ht="18" customHeight="1">
      <c r="A59" s="4" t="inlineStr">
        <is>
          <t>03/03/2024</t>
        </is>
      </c>
      <c r="B59" s="4" t="inlineStr">
        <is>
          <t>17:00</t>
        </is>
      </c>
      <c r="C59" s="5" t="inlineStr">
        <is>
          <t>Té frío</t>
        </is>
      </c>
      <c r="D59" s="4" t="n">
        <v>4</v>
      </c>
      <c r="E59" s="4" t="inlineStr">
        <is>
          <t>Sí</t>
        </is>
      </c>
      <c r="F59" s="5" t="inlineStr">
        <is>
          <t>Me encantó</t>
        </is>
      </c>
    </row>
    <row r="60" ht="18" customHeight="1">
      <c r="A60" s="6" t="inlineStr">
        <is>
          <t>04/03/2024</t>
        </is>
      </c>
      <c r="B60" s="6" t="inlineStr">
        <is>
          <t>18:30</t>
        </is>
      </c>
      <c r="C60" s="7" t="inlineStr">
        <is>
          <t>Torta de chocolate</t>
        </is>
      </c>
      <c r="D60" s="6" t="n">
        <v>3</v>
      </c>
      <c r="E60" s="6" t="inlineStr">
        <is>
          <t>Sí</t>
        </is>
      </c>
      <c r="F60" s="7" t="inlineStr">
        <is>
          <t>Nada especial</t>
        </is>
      </c>
    </row>
    <row r="61" ht="18" customHeight="1">
      <c r="A61" s="4" t="inlineStr">
        <is>
          <t>05/03/2024</t>
        </is>
      </c>
      <c r="B61" s="4" t="inlineStr">
        <is>
          <t>09:45</t>
        </is>
      </c>
      <c r="C61" s="5" t="inlineStr">
        <is>
          <t>Capuchino</t>
        </is>
      </c>
      <c r="D61" s="4" t="n">
        <v>3</v>
      </c>
      <c r="E61" s="4" t="inlineStr">
        <is>
          <t>Sí</t>
        </is>
      </c>
      <c r="F61" s="5" t="inlineStr">
        <is>
          <t>El sándwich estaba frío</t>
        </is>
      </c>
    </row>
    <row r="62" ht="18" customHeight="1">
      <c r="A62" s="6" t="inlineStr">
        <is>
          <t>06/03/2024</t>
        </is>
      </c>
      <c r="B62" s="6" t="inlineStr">
        <is>
          <t>09:20</t>
        </is>
      </c>
      <c r="C62" s="7" t="inlineStr">
        <is>
          <t>Café expreso</t>
        </is>
      </c>
      <c r="D62" s="6" t="n">
        <v>5</v>
      </c>
      <c r="E62" s="6" t="inlineStr">
        <is>
          <t>Sí</t>
        </is>
      </c>
      <c r="F62" s="7" t="inlineStr">
        <is>
          <t>Volveré seguro</t>
        </is>
      </c>
    </row>
    <row r="63" ht="18" customHeight="1">
      <c r="A63" s="4" t="inlineStr">
        <is>
          <t>07/03/2024</t>
        </is>
      </c>
      <c r="B63" s="4" t="inlineStr">
        <is>
          <t>13:00</t>
        </is>
      </c>
      <c r="C63" s="5" t="inlineStr">
        <is>
          <t>Capuchino</t>
        </is>
      </c>
      <c r="D63" s="4" t="n">
        <v>5</v>
      </c>
      <c r="E63" s="4" t="inlineStr">
        <is>
          <t>Sí</t>
        </is>
      </c>
      <c r="F63" s="5" t="inlineStr">
        <is>
          <t>Muy buen café</t>
        </is>
      </c>
    </row>
    <row r="64" ht="18" customHeight="1">
      <c r="A64" s="6" t="inlineStr">
        <is>
          <t>08/03/2024</t>
        </is>
      </c>
      <c r="B64" s="6" t="inlineStr">
        <is>
          <t>07:45</t>
        </is>
      </c>
      <c r="C64" s="7" t="inlineStr">
        <is>
          <t>Sándwich</t>
        </is>
      </c>
      <c r="D64" s="6" t="n">
        <v>3</v>
      </c>
      <c r="E64" s="6" t="inlineStr">
        <is>
          <t>Sí</t>
        </is>
      </c>
      <c r="F64" s="7" t="inlineStr">
        <is>
          <t>Un poco lento</t>
        </is>
      </c>
    </row>
    <row r="65" ht="18" customHeight="1">
      <c r="A65" s="4" t="inlineStr">
        <is>
          <t>09/03/2024</t>
        </is>
      </c>
      <c r="B65" s="4" t="inlineStr">
        <is>
          <t>08:10</t>
        </is>
      </c>
      <c r="C65" s="5" t="inlineStr">
        <is>
          <t>Sándwich</t>
        </is>
      </c>
      <c r="D65" s="4" t="n">
        <v>5</v>
      </c>
      <c r="E65" s="4" t="inlineStr">
        <is>
          <t>Sí</t>
        </is>
      </c>
      <c r="F65" s="5" t="inlineStr">
        <is>
          <t>Muy buen café</t>
        </is>
      </c>
    </row>
    <row r="66" ht="18" customHeight="1">
      <c r="A66" s="6" t="inlineStr">
        <is>
          <t>10/03/2024</t>
        </is>
      </c>
      <c r="B66" s="6" t="inlineStr">
        <is>
          <t>12:45</t>
        </is>
      </c>
      <c r="C66" s="7" t="inlineStr">
        <is>
          <t>Torta de chocolate</t>
        </is>
      </c>
      <c r="D66" s="6" t="n">
        <v>3</v>
      </c>
      <c r="E66" s="6" t="inlineStr">
        <is>
          <t>Sí</t>
        </is>
      </c>
      <c r="F66" s="7" t="inlineStr">
        <is>
          <t>El sándwich estaba frío</t>
        </is>
      </c>
    </row>
    <row r="67" ht="18" customHeight="1">
      <c r="A67" s="4" t="inlineStr">
        <is>
          <t>11/03/2024</t>
        </is>
      </c>
      <c r="B67" s="4" t="inlineStr">
        <is>
          <t>07:45</t>
        </is>
      </c>
      <c r="C67" s="5" t="inlineStr">
        <is>
          <t>Té frío</t>
        </is>
      </c>
      <c r="D67" s="4" t="n">
        <v>4</v>
      </c>
      <c r="E67" s="4" t="inlineStr">
        <is>
          <t>Sí</t>
        </is>
      </c>
      <c r="F67" s="5" t="inlineStr">
        <is>
          <t>Volveré seguro</t>
        </is>
      </c>
    </row>
    <row r="68" ht="18" customHeight="1">
      <c r="A68" s="6" t="inlineStr">
        <is>
          <t>12/03/2024</t>
        </is>
      </c>
      <c r="B68" s="6" t="inlineStr">
        <is>
          <t>10:30</t>
        </is>
      </c>
      <c r="C68" s="7" t="inlineStr">
        <is>
          <t>Café expreso</t>
        </is>
      </c>
      <c r="D68" s="6" t="n">
        <v>3</v>
      </c>
      <c r="E68" s="6" t="inlineStr">
        <is>
          <t>Sí</t>
        </is>
      </c>
      <c r="F68" s="7" t="inlineStr">
        <is>
          <t>Nada especial</t>
        </is>
      </c>
    </row>
    <row r="69" ht="18" customHeight="1">
      <c r="A69" s="4" t="inlineStr">
        <is>
          <t>13/03/2024</t>
        </is>
      </c>
      <c r="B69" s="4" t="inlineStr">
        <is>
          <t>12:45</t>
        </is>
      </c>
      <c r="C69" s="5" t="inlineStr">
        <is>
          <t>Torta de chocolate</t>
        </is>
      </c>
      <c r="D69" s="4" t="n">
        <v>3</v>
      </c>
      <c r="E69" s="4" t="inlineStr">
        <is>
          <t>Sí</t>
        </is>
      </c>
      <c r="F69" s="5" t="inlineStr">
        <is>
          <t>Podría mejorar</t>
        </is>
      </c>
    </row>
    <row r="70" ht="18" customHeight="1">
      <c r="A70" s="6" t="inlineStr">
        <is>
          <t>14/03/2024</t>
        </is>
      </c>
      <c r="B70" s="6" t="inlineStr">
        <is>
          <t>14:30</t>
        </is>
      </c>
      <c r="C70" s="7" t="inlineStr">
        <is>
          <t>Sándwich</t>
        </is>
      </c>
      <c r="D70" s="6" t="n">
        <v>4</v>
      </c>
      <c r="E70" s="6" t="inlineStr">
        <is>
          <t>Sí</t>
        </is>
      </c>
      <c r="F70" s="7" t="inlineStr">
        <is>
          <t>Super bueno</t>
        </is>
      </c>
    </row>
    <row r="71" ht="18" customHeight="1">
      <c r="A71" s="4" t="inlineStr">
        <is>
          <t>15/03/2024</t>
        </is>
      </c>
      <c r="B71" s="4" t="inlineStr">
        <is>
          <t>11:00</t>
        </is>
      </c>
      <c r="C71" s="5" t="inlineStr">
        <is>
          <t>Sándwich</t>
        </is>
      </c>
      <c r="D71" s="4" t="n">
        <v>5</v>
      </c>
      <c r="E71" s="4" t="inlineStr">
        <is>
          <t>Sí</t>
        </is>
      </c>
      <c r="F71" s="5" t="inlineStr">
        <is>
          <t>Excelente atención</t>
        </is>
      </c>
    </row>
    <row r="72" ht="18" customHeight="1">
      <c r="A72" s="6" t="inlineStr">
        <is>
          <t>16/03/2024</t>
        </is>
      </c>
      <c r="B72" s="6" t="inlineStr">
        <is>
          <t>14:30</t>
        </is>
      </c>
      <c r="C72" s="7" t="inlineStr">
        <is>
          <t>Capuchino</t>
        </is>
      </c>
      <c r="D72" s="6" t="n">
        <v>3</v>
      </c>
      <c r="E72" s="6" t="inlineStr">
        <is>
          <t>Sí</t>
        </is>
      </c>
      <c r="F72" s="7" t="inlineStr"/>
    </row>
    <row r="73" ht="18" customHeight="1">
      <c r="A73" s="4" t="inlineStr">
        <is>
          <t>17/03/2024</t>
        </is>
      </c>
      <c r="B73" s="4" t="inlineStr">
        <is>
          <t>15:00</t>
        </is>
      </c>
      <c r="C73" s="5" t="inlineStr">
        <is>
          <t>Café expreso</t>
        </is>
      </c>
      <c r="D73" s="4" t="n">
        <v>5</v>
      </c>
      <c r="E73" s="4" t="inlineStr">
        <is>
          <t>Sí</t>
        </is>
      </c>
      <c r="F73" s="5" t="inlineStr">
        <is>
          <t>Muy buen café</t>
        </is>
      </c>
    </row>
    <row r="74" ht="18" customHeight="1">
      <c r="A74" s="6" t="inlineStr">
        <is>
          <t>18/03/2024</t>
        </is>
      </c>
      <c r="B74" s="6" t="inlineStr">
        <is>
          <t>09:20</t>
        </is>
      </c>
      <c r="C74" s="7" t="inlineStr">
        <is>
          <t>Té frío</t>
        </is>
      </c>
      <c r="D74" s="6" t="n">
        <v>2</v>
      </c>
      <c r="E74" s="6" t="inlineStr">
        <is>
          <t>No</t>
        </is>
      </c>
      <c r="F74" s="7" t="inlineStr">
        <is>
          <t>Regular</t>
        </is>
      </c>
    </row>
    <row r="75" ht="18" customHeight="1">
      <c r="A75" s="4" t="inlineStr">
        <is>
          <t>19/03/2024</t>
        </is>
      </c>
      <c r="B75" s="4" t="inlineStr">
        <is>
          <t>09:20</t>
        </is>
      </c>
      <c r="C75" s="5" t="inlineStr">
        <is>
          <t>Café expreso</t>
        </is>
      </c>
      <c r="D75" s="4" t="n">
        <v>5</v>
      </c>
      <c r="E75" s="4" t="inlineStr">
        <is>
          <t>Sí</t>
        </is>
      </c>
      <c r="F75" s="5" t="inlineStr">
        <is>
          <t>Super bueno</t>
        </is>
      </c>
    </row>
    <row r="76" ht="18" customHeight="1">
      <c r="A76" s="6" t="inlineStr">
        <is>
          <t>20/03/2024</t>
        </is>
      </c>
      <c r="B76" s="6" t="inlineStr">
        <is>
          <t>12:15</t>
        </is>
      </c>
      <c r="C76" s="7" t="inlineStr">
        <is>
          <t>Café expreso</t>
        </is>
      </c>
      <c r="D76" s="6" t="n">
        <v>3</v>
      </c>
      <c r="E76" s="6" t="inlineStr">
        <is>
          <t>Sí</t>
        </is>
      </c>
      <c r="F76" s="7" t="inlineStr">
        <is>
          <t>El sándwich estaba frío</t>
        </is>
      </c>
    </row>
    <row r="77" ht="18" customHeight="1">
      <c r="A77" s="4" t="inlineStr">
        <is>
          <t>21/03/2024</t>
        </is>
      </c>
      <c r="B77" s="4" t="inlineStr">
        <is>
          <t>15:00</t>
        </is>
      </c>
      <c r="C77" s="5" t="inlineStr">
        <is>
          <t>Café expreso</t>
        </is>
      </c>
      <c r="D77" s="4" t="n">
        <v>2</v>
      </c>
      <c r="E77" s="4" t="inlineStr">
        <is>
          <t>No</t>
        </is>
      </c>
      <c r="F77" s="5" t="inlineStr">
        <is>
          <t>El sándwich estaba frío</t>
        </is>
      </c>
    </row>
    <row r="78" ht="18" customHeight="1">
      <c r="A78" s="6" t="inlineStr">
        <is>
          <t>22/03/2024</t>
        </is>
      </c>
      <c r="B78" s="6" t="inlineStr">
        <is>
          <t>17:30</t>
        </is>
      </c>
      <c r="C78" s="7" t="inlineStr">
        <is>
          <t>Té frío</t>
        </is>
      </c>
      <c r="D78" s="6" t="n">
        <v>4</v>
      </c>
      <c r="E78" s="6" t="inlineStr">
        <is>
          <t>Sí</t>
        </is>
      </c>
      <c r="F78" s="7" t="inlineStr">
        <is>
          <t>Volveré seguro</t>
        </is>
      </c>
    </row>
    <row r="79" ht="18" customHeight="1">
      <c r="A79" s="4" t="inlineStr">
        <is>
          <t>23/03/2024</t>
        </is>
      </c>
      <c r="B79" s="4" t="inlineStr">
        <is>
          <t>09:45</t>
        </is>
      </c>
      <c r="C79" s="5" t="inlineStr">
        <is>
          <t>Té frío</t>
        </is>
      </c>
      <c r="D79" s="4" t="n">
        <v>5</v>
      </c>
      <c r="E79" s="4" t="inlineStr">
        <is>
          <t>Sí</t>
        </is>
      </c>
      <c r="F79" s="5" t="inlineStr">
        <is>
          <t>Rico y rápido</t>
        </is>
      </c>
    </row>
    <row r="80" ht="18" customHeight="1">
      <c r="A80" s="6" t="inlineStr">
        <is>
          <t>24/03/2024</t>
        </is>
      </c>
      <c r="B80" s="6" t="inlineStr">
        <is>
          <t>12:15</t>
        </is>
      </c>
      <c r="C80" s="7" t="inlineStr">
        <is>
          <t>Sándwich</t>
        </is>
      </c>
      <c r="D80" s="6" t="n">
        <v>5</v>
      </c>
      <c r="E80" s="6" t="inlineStr">
        <is>
          <t>Sí</t>
        </is>
      </c>
      <c r="F80" s="7" t="inlineStr">
        <is>
          <t>Rico y rápido</t>
        </is>
      </c>
    </row>
    <row r="81" ht="18" customHeight="1">
      <c r="A81" s="4" t="inlineStr">
        <is>
          <t>25/03/2024</t>
        </is>
      </c>
      <c r="B81" s="4" t="inlineStr">
        <is>
          <t>11:30</t>
        </is>
      </c>
      <c r="C81" s="5" t="inlineStr">
        <is>
          <t>Café expreso</t>
        </is>
      </c>
      <c r="D81" s="4" t="n">
        <v>4</v>
      </c>
      <c r="E81" s="4" t="inlineStr">
        <is>
          <t>Sí</t>
        </is>
      </c>
      <c r="F81" s="5" t="inlineStr">
        <is>
          <t>Volveré seguro</t>
        </is>
      </c>
    </row>
    <row r="82" ht="18" customHeight="1">
      <c r="A82" s="6" t="inlineStr">
        <is>
          <t>26/03/2024</t>
        </is>
      </c>
      <c r="B82" s="6" t="inlineStr">
        <is>
          <t>13:00</t>
        </is>
      </c>
      <c r="C82" s="7" t="inlineStr">
        <is>
          <t>Torta de chocolate</t>
        </is>
      </c>
      <c r="D82" s="6" t="n">
        <v>2</v>
      </c>
      <c r="E82" s="6" t="inlineStr">
        <is>
          <t>No</t>
        </is>
      </c>
      <c r="F82" s="7" t="inlineStr">
        <is>
          <t>Un poco lento</t>
        </is>
      </c>
    </row>
    <row r="83" ht="18" customHeight="1">
      <c r="A83" s="4" t="inlineStr">
        <is>
          <t>01/03/2024</t>
        </is>
      </c>
      <c r="B83" s="4" t="inlineStr">
        <is>
          <t>08:10</t>
        </is>
      </c>
      <c r="C83" s="5" t="inlineStr">
        <is>
          <t>Sándwich</t>
        </is>
      </c>
      <c r="D83" s="4" t="n">
        <v>4</v>
      </c>
      <c r="E83" s="4" t="inlineStr">
        <is>
          <t>Sí</t>
        </is>
      </c>
      <c r="F83" s="5" t="inlineStr">
        <is>
          <t>Muy buen café</t>
        </is>
      </c>
    </row>
    <row r="84" ht="18" customHeight="1">
      <c r="A84" s="6" t="inlineStr">
        <is>
          <t>02/03/2024</t>
        </is>
      </c>
      <c r="B84" s="6" t="inlineStr">
        <is>
          <t>12:00</t>
        </is>
      </c>
      <c r="C84" s="7" t="inlineStr">
        <is>
          <t>Té frío</t>
        </is>
      </c>
      <c r="D84" s="6" t="n">
        <v>5</v>
      </c>
      <c r="E84" s="6" t="inlineStr">
        <is>
          <t>Sí</t>
        </is>
      </c>
      <c r="F84" s="7" t="inlineStr">
        <is>
          <t>Excelente atención</t>
        </is>
      </c>
    </row>
    <row r="85" ht="18" customHeight="1">
      <c r="A85" s="4" t="inlineStr">
        <is>
          <t>03/03/2024</t>
        </is>
      </c>
      <c r="B85" s="4" t="inlineStr">
        <is>
          <t>11:00</t>
        </is>
      </c>
      <c r="C85" s="5" t="inlineStr">
        <is>
          <t>Torta de chocolate</t>
        </is>
      </c>
      <c r="D85" s="4" t="n">
        <v>3</v>
      </c>
      <c r="E85" s="4" t="inlineStr">
        <is>
          <t>Sí</t>
        </is>
      </c>
      <c r="F85" s="5" t="inlineStr">
        <is>
          <t>Podría mejorar</t>
        </is>
      </c>
    </row>
    <row r="86" ht="18" customHeight="1">
      <c r="A86" s="6" t="inlineStr">
        <is>
          <t>04/03/2024</t>
        </is>
      </c>
      <c r="B86" s="6" t="inlineStr">
        <is>
          <t>11:00</t>
        </is>
      </c>
      <c r="C86" s="7" t="inlineStr">
        <is>
          <t>Café expreso</t>
        </is>
      </c>
      <c r="D86" s="6" t="n">
        <v>3</v>
      </c>
      <c r="E86" s="6" t="inlineStr">
        <is>
          <t>Sí</t>
        </is>
      </c>
      <c r="F86" s="7" t="inlineStr"/>
    </row>
    <row r="87" ht="18" customHeight="1">
      <c r="A87" s="4" t="inlineStr">
        <is>
          <t>05/03/2024</t>
        </is>
      </c>
      <c r="B87" s="4" t="inlineStr">
        <is>
          <t>14:00</t>
        </is>
      </c>
      <c r="C87" s="5" t="inlineStr">
        <is>
          <t>Sándwich</t>
        </is>
      </c>
      <c r="D87" s="4" t="n">
        <v>2</v>
      </c>
      <c r="E87" s="4" t="inlineStr">
        <is>
          <t>No</t>
        </is>
      </c>
      <c r="F87" s="5" t="inlineStr"/>
    </row>
    <row r="88" ht="18" customHeight="1">
      <c r="A88" s="6" t="inlineStr">
        <is>
          <t>06/03/2024</t>
        </is>
      </c>
      <c r="B88" s="6" t="inlineStr">
        <is>
          <t>17:30</t>
        </is>
      </c>
      <c r="C88" s="7" t="inlineStr">
        <is>
          <t>Café expreso</t>
        </is>
      </c>
      <c r="D88" s="6" t="n">
        <v>3</v>
      </c>
      <c r="E88" s="6" t="inlineStr">
        <is>
          <t>Sí</t>
        </is>
      </c>
      <c r="F88" s="7" t="inlineStr">
        <is>
          <t>Podría mejorar</t>
        </is>
      </c>
    </row>
    <row r="89" ht="18" customHeight="1">
      <c r="A89" s="4" t="inlineStr">
        <is>
          <t>07/03/2024</t>
        </is>
      </c>
      <c r="B89" s="4" t="inlineStr">
        <is>
          <t>08:30</t>
        </is>
      </c>
      <c r="C89" s="5" t="inlineStr">
        <is>
          <t>Café expreso</t>
        </is>
      </c>
      <c r="D89" s="4" t="n">
        <v>3</v>
      </c>
      <c r="E89" s="4" t="inlineStr">
        <is>
          <t>Sí</t>
        </is>
      </c>
      <c r="F89" s="5" t="inlineStr">
        <is>
          <t>Podría mejorar</t>
        </is>
      </c>
    </row>
    <row r="90" ht="18" customHeight="1">
      <c r="A90" s="6" t="inlineStr">
        <is>
          <t>08/03/2024</t>
        </is>
      </c>
      <c r="B90" s="6" t="inlineStr">
        <is>
          <t>10:30</t>
        </is>
      </c>
      <c r="C90" s="7" t="inlineStr">
        <is>
          <t>Torta de chocolate</t>
        </is>
      </c>
      <c r="D90" s="6" t="n">
        <v>4</v>
      </c>
      <c r="E90" s="6" t="inlineStr">
        <is>
          <t>Sí</t>
        </is>
      </c>
      <c r="F90" s="7" t="inlineStr">
        <is>
          <t>Excelente atención</t>
        </is>
      </c>
    </row>
    <row r="91" ht="18" customHeight="1">
      <c r="A91" s="4" t="inlineStr">
        <is>
          <t>09/03/2024</t>
        </is>
      </c>
      <c r="B91" s="4" t="inlineStr">
        <is>
          <t>09:45</t>
        </is>
      </c>
      <c r="C91" s="5" t="inlineStr">
        <is>
          <t>Capuchino</t>
        </is>
      </c>
      <c r="D91" s="4" t="n">
        <v>4</v>
      </c>
      <c r="E91" s="4" t="inlineStr">
        <is>
          <t>Sí</t>
        </is>
      </c>
      <c r="F91" s="5" t="inlineStr">
        <is>
          <t>Rico y rápido</t>
        </is>
      </c>
    </row>
    <row r="92" ht="18" customHeight="1">
      <c r="A92" s="6" t="inlineStr">
        <is>
          <t>10/03/2024</t>
        </is>
      </c>
      <c r="B92" s="6" t="inlineStr">
        <is>
          <t>13:30</t>
        </is>
      </c>
      <c r="C92" s="7" t="inlineStr">
        <is>
          <t>Sándwich</t>
        </is>
      </c>
      <c r="D92" s="6" t="n">
        <v>3</v>
      </c>
      <c r="E92" s="6" t="inlineStr">
        <is>
          <t>Sí</t>
        </is>
      </c>
      <c r="F92" s="7" t="inlineStr">
        <is>
          <t>Regular</t>
        </is>
      </c>
    </row>
    <row r="93" ht="18" customHeight="1">
      <c r="A93" s="4" t="inlineStr">
        <is>
          <t>11/03/2024</t>
        </is>
      </c>
      <c r="B93" s="4" t="inlineStr">
        <is>
          <t>08:10</t>
        </is>
      </c>
      <c r="C93" s="5" t="inlineStr">
        <is>
          <t>Capuchino</t>
        </is>
      </c>
      <c r="D93" s="4" t="n">
        <v>2</v>
      </c>
      <c r="E93" s="4" t="inlineStr">
        <is>
          <t>No</t>
        </is>
      </c>
      <c r="F93" s="5" t="inlineStr">
        <is>
          <t>Un poco lento</t>
        </is>
      </c>
    </row>
    <row r="94" ht="18" customHeight="1">
      <c r="A94" s="6" t="inlineStr">
        <is>
          <t>12/03/2024</t>
        </is>
      </c>
      <c r="B94" s="6" t="inlineStr">
        <is>
          <t>07:15</t>
        </is>
      </c>
      <c r="C94" s="7" t="inlineStr">
        <is>
          <t>Sándwich</t>
        </is>
      </c>
      <c r="D94" s="6" t="n">
        <v>3</v>
      </c>
      <c r="E94" s="6" t="inlineStr">
        <is>
          <t>Sí</t>
        </is>
      </c>
      <c r="F94" s="7" t="inlineStr">
        <is>
          <t>Un poco lento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1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8" customWidth="1" min="5" max="5"/>
    <col width="16" customWidth="1" min="6" max="6"/>
    <col width="18" customWidth="1" min="7" max="7"/>
  </cols>
  <sheetData>
    <row r="1" ht="32" customHeight="1">
      <c r="A1" s="1" t="inlineStr">
        <is>
          <t>☕  CaféDigital — Registro de Ventas Diarias</t>
        </is>
      </c>
    </row>
    <row r="2" ht="18" customHeight="1">
      <c r="A2" s="2" t="inlineStr">
        <is>
          <t>Módulo 2 · Fuente: Exportación CSV desde caja registradora</t>
        </is>
      </c>
    </row>
    <row r="3" ht="8" customHeight="1"/>
    <row r="4" ht="22" customHeight="1">
      <c r="A4" s="3" t="inlineStr">
        <is>
          <t>Fecha</t>
        </is>
      </c>
      <c r="B4" s="3" t="inlineStr">
        <is>
          <t>Hora</t>
        </is>
      </c>
      <c r="C4" s="3" t="inlineStr">
        <is>
          <t>Producto</t>
        </is>
      </c>
      <c r="D4" s="3" t="inlineStr">
        <is>
          <t>Cantidad</t>
        </is>
      </c>
      <c r="E4" s="3" t="inlineStr">
        <is>
          <t>Precio_Unitario</t>
        </is>
      </c>
      <c r="F4" s="3" t="inlineStr">
        <is>
          <t>Total_Venta</t>
        </is>
      </c>
      <c r="G4" s="3" t="inlineStr">
        <is>
          <t>Mes</t>
        </is>
      </c>
    </row>
    <row r="5" ht="18" customHeight="1">
      <c r="A5" s="4" t="inlineStr">
        <is>
          <t>01/03/2024</t>
        </is>
      </c>
      <c r="B5" s="4" t="inlineStr">
        <is>
          <t>12:15</t>
        </is>
      </c>
      <c r="C5" s="5" t="inlineStr">
        <is>
          <t>Capuchino</t>
        </is>
      </c>
      <c r="D5" s="4" t="n">
        <v>1</v>
      </c>
      <c r="E5" s="8" t="n">
        <v>4500</v>
      </c>
      <c r="F5" s="8" t="n">
        <v>4500</v>
      </c>
      <c r="G5" s="4" t="inlineStr">
        <is>
          <t>Marzo 2024</t>
        </is>
      </c>
    </row>
    <row r="6" ht="18" customHeight="1">
      <c r="A6" s="6" t="inlineStr">
        <is>
          <t>02/03/2024</t>
        </is>
      </c>
      <c r="B6" s="6" t="inlineStr">
        <is>
          <t>14:30</t>
        </is>
      </c>
      <c r="C6" s="7" t="inlineStr">
        <is>
          <t>Sándwich</t>
        </is>
      </c>
      <c r="D6" s="6" t="n">
        <v>1</v>
      </c>
      <c r="E6" s="9" t="n">
        <v>6500</v>
      </c>
      <c r="F6" s="9" t="n">
        <v>6500</v>
      </c>
      <c r="G6" s="6" t="inlineStr">
        <is>
          <t>Marzo 2024</t>
        </is>
      </c>
    </row>
    <row r="7" ht="18" customHeight="1">
      <c r="A7" s="4" t="inlineStr">
        <is>
          <t>03/03/2024</t>
        </is>
      </c>
      <c r="B7" s="4" t="inlineStr">
        <is>
          <t>07:45</t>
        </is>
      </c>
      <c r="C7" s="5" t="inlineStr">
        <is>
          <t>Café expreso</t>
        </is>
      </c>
      <c r="D7" s="4" t="n">
        <v>2</v>
      </c>
      <c r="E7" s="8" t="n">
        <v>3500</v>
      </c>
      <c r="F7" s="8" t="n">
        <v>7000</v>
      </c>
      <c r="G7" s="4" t="inlineStr">
        <is>
          <t>Marzo 2024</t>
        </is>
      </c>
    </row>
    <row r="8" ht="18" customHeight="1">
      <c r="A8" s="6" t="inlineStr">
        <is>
          <t>04/03/2024</t>
        </is>
      </c>
      <c r="B8" s="6" t="inlineStr">
        <is>
          <t>07:45</t>
        </is>
      </c>
      <c r="C8" s="7" t="inlineStr">
        <is>
          <t>Torta de chocolate</t>
        </is>
      </c>
      <c r="D8" s="6" t="n">
        <v>1</v>
      </c>
      <c r="E8" s="9" t="n">
        <v>5500</v>
      </c>
      <c r="F8" s="9" t="n">
        <v>5500</v>
      </c>
      <c r="G8" s="6" t="inlineStr">
        <is>
          <t>Marzo 2024</t>
        </is>
      </c>
    </row>
    <row r="9" ht="18" customHeight="1">
      <c r="A9" s="4" t="inlineStr">
        <is>
          <t>05/03/2024</t>
        </is>
      </c>
      <c r="B9" s="4" t="inlineStr">
        <is>
          <t>08:10</t>
        </is>
      </c>
      <c r="C9" s="5" t="inlineStr">
        <is>
          <t>Café expreso</t>
        </is>
      </c>
      <c r="D9" s="4" t="n">
        <v>2</v>
      </c>
      <c r="E9" s="8" t="n">
        <v>3500</v>
      </c>
      <c r="F9" s="8" t="n">
        <v>7000</v>
      </c>
      <c r="G9" s="4" t="inlineStr">
        <is>
          <t>Marzo 2024</t>
        </is>
      </c>
    </row>
    <row r="10" ht="18" customHeight="1">
      <c r="A10" s="6" t="inlineStr">
        <is>
          <t>06/03/2024</t>
        </is>
      </c>
      <c r="B10" s="6" t="inlineStr">
        <is>
          <t>12:45</t>
        </is>
      </c>
      <c r="C10" s="7" t="inlineStr">
        <is>
          <t>Capuchino</t>
        </is>
      </c>
      <c r="D10" s="6" t="n">
        <v>2</v>
      </c>
      <c r="E10" s="9" t="n">
        <v>4500</v>
      </c>
      <c r="F10" s="9" t="n">
        <v>9000</v>
      </c>
      <c r="G10" s="6" t="inlineStr">
        <is>
          <t>Marzo 2024</t>
        </is>
      </c>
    </row>
    <row r="11" ht="18" customHeight="1">
      <c r="A11" s="4" t="inlineStr">
        <is>
          <t>07/03/2024</t>
        </is>
      </c>
      <c r="B11" s="4" t="inlineStr">
        <is>
          <t>08:30</t>
        </is>
      </c>
      <c r="C11" s="5" t="inlineStr">
        <is>
          <t>Café expreso</t>
        </is>
      </c>
      <c r="D11" s="4" t="n">
        <v>2</v>
      </c>
      <c r="E11" s="8" t="n">
        <v>3500</v>
      </c>
      <c r="F11" s="8" t="n">
        <v>7000</v>
      </c>
      <c r="G11" s="4" t="inlineStr">
        <is>
          <t>Marzo 2024</t>
        </is>
      </c>
    </row>
    <row r="12" ht="18" customHeight="1">
      <c r="A12" s="6" t="inlineStr">
        <is>
          <t>08/03/2024</t>
        </is>
      </c>
      <c r="B12" s="6" t="inlineStr">
        <is>
          <t>17:00</t>
        </is>
      </c>
      <c r="C12" s="7" t="inlineStr">
        <is>
          <t>Torta de chocolate</t>
        </is>
      </c>
      <c r="D12" s="6" t="n">
        <v>3</v>
      </c>
      <c r="E12" s="9" t="n">
        <v>5500</v>
      </c>
      <c r="F12" s="9" t="n">
        <v>16500</v>
      </c>
      <c r="G12" s="6" t="inlineStr">
        <is>
          <t>Marzo 2024</t>
        </is>
      </c>
    </row>
    <row r="13" ht="18" customHeight="1">
      <c r="A13" s="4" t="inlineStr">
        <is>
          <t>09/03/2024</t>
        </is>
      </c>
      <c r="B13" s="4" t="inlineStr">
        <is>
          <t>15:00</t>
        </is>
      </c>
      <c r="C13" s="5" t="inlineStr">
        <is>
          <t>Sándwich</t>
        </is>
      </c>
      <c r="D13" s="4" t="n">
        <v>1</v>
      </c>
      <c r="E13" s="8" t="n">
        <v>6500</v>
      </c>
      <c r="F13" s="8" t="n">
        <v>6500</v>
      </c>
      <c r="G13" s="4" t="inlineStr">
        <is>
          <t>Marzo 2024</t>
        </is>
      </c>
    </row>
    <row r="14" ht="18" customHeight="1">
      <c r="A14" s="6" t="inlineStr">
        <is>
          <t>10/03/2024</t>
        </is>
      </c>
      <c r="B14" s="6" t="inlineStr">
        <is>
          <t>10:00</t>
        </is>
      </c>
      <c r="C14" s="7" t="inlineStr">
        <is>
          <t>Sándwich</t>
        </is>
      </c>
      <c r="D14" s="6" t="n">
        <v>1</v>
      </c>
      <c r="E14" s="9" t="n">
        <v>6500</v>
      </c>
      <c r="F14" s="9" t="n">
        <v>6500</v>
      </c>
      <c r="G14" s="6" t="inlineStr">
        <is>
          <t>Marzo 2024</t>
        </is>
      </c>
    </row>
    <row r="15" ht="18" customHeight="1">
      <c r="A15" s="4" t="inlineStr">
        <is>
          <t>11/03/2024</t>
        </is>
      </c>
      <c r="B15" s="4" t="inlineStr">
        <is>
          <t>11:00</t>
        </is>
      </c>
      <c r="C15" s="5" t="inlineStr">
        <is>
          <t>Café expreso</t>
        </is>
      </c>
      <c r="D15" s="4" t="n">
        <v>1</v>
      </c>
      <c r="E15" s="8" t="n">
        <v>3500</v>
      </c>
      <c r="F15" s="8" t="n">
        <v>3500</v>
      </c>
      <c r="G15" s="4" t="inlineStr">
        <is>
          <t>Marzo 2024</t>
        </is>
      </c>
    </row>
    <row r="16" ht="18" customHeight="1">
      <c r="A16" s="6" t="inlineStr">
        <is>
          <t>12/03/2024</t>
        </is>
      </c>
      <c r="B16" s="6" t="inlineStr">
        <is>
          <t>08:30</t>
        </is>
      </c>
      <c r="C16" s="7" t="inlineStr">
        <is>
          <t>Capuchino</t>
        </is>
      </c>
      <c r="D16" s="6" t="n">
        <v>2</v>
      </c>
      <c r="E16" s="9" t="n">
        <v>4500</v>
      </c>
      <c r="F16" s="9" t="n">
        <v>9000</v>
      </c>
      <c r="G16" s="6" t="inlineStr">
        <is>
          <t>Marzo 2024</t>
        </is>
      </c>
    </row>
    <row r="17" ht="18" customHeight="1">
      <c r="A17" s="4" t="inlineStr">
        <is>
          <t>13/03/2024</t>
        </is>
      </c>
      <c r="B17" s="4" t="inlineStr">
        <is>
          <t>17:30</t>
        </is>
      </c>
      <c r="C17" s="5" t="inlineStr">
        <is>
          <t>Té frío</t>
        </is>
      </c>
      <c r="D17" s="4" t="n">
        <v>2</v>
      </c>
      <c r="E17" s="8" t="n">
        <v>3000</v>
      </c>
      <c r="F17" s="8" t="n">
        <v>6000</v>
      </c>
      <c r="G17" s="4" t="inlineStr">
        <is>
          <t>Marzo 2024</t>
        </is>
      </c>
    </row>
    <row r="18" ht="18" customHeight="1">
      <c r="A18" s="6" t="inlineStr">
        <is>
          <t>14/03/2024</t>
        </is>
      </c>
      <c r="B18" s="6" t="inlineStr">
        <is>
          <t>15:00</t>
        </is>
      </c>
      <c r="C18" s="7" t="inlineStr">
        <is>
          <t>Capuchino</t>
        </is>
      </c>
      <c r="D18" s="6" t="n">
        <v>2</v>
      </c>
      <c r="E18" s="9" t="n">
        <v>4500</v>
      </c>
      <c r="F18" s="9" t="n">
        <v>9000</v>
      </c>
      <c r="G18" s="6" t="inlineStr">
        <is>
          <t>Marzo 2024</t>
        </is>
      </c>
    </row>
    <row r="19" ht="18" customHeight="1">
      <c r="A19" s="4" t="inlineStr">
        <is>
          <t>15/03/2024</t>
        </is>
      </c>
      <c r="B19" s="4" t="inlineStr">
        <is>
          <t>08:30</t>
        </is>
      </c>
      <c r="C19" s="5" t="inlineStr">
        <is>
          <t>Sándwich</t>
        </is>
      </c>
      <c r="D19" s="4" t="n">
        <v>1</v>
      </c>
      <c r="E19" s="8" t="n">
        <v>6500</v>
      </c>
      <c r="F19" s="8" t="n">
        <v>6500</v>
      </c>
      <c r="G19" s="4" t="inlineStr">
        <is>
          <t>Marzo 2024</t>
        </is>
      </c>
    </row>
    <row r="20" ht="18" customHeight="1">
      <c r="A20" s="6" t="inlineStr">
        <is>
          <t>16/03/2024</t>
        </is>
      </c>
      <c r="B20" s="6" t="inlineStr">
        <is>
          <t>15:00</t>
        </is>
      </c>
      <c r="C20" s="7" t="inlineStr">
        <is>
          <t>Té frío</t>
        </is>
      </c>
      <c r="D20" s="6" t="n">
        <v>1</v>
      </c>
      <c r="E20" s="9" t="n">
        <v>3000</v>
      </c>
      <c r="F20" s="9" t="n">
        <v>3000</v>
      </c>
      <c r="G20" s="6" t="inlineStr">
        <is>
          <t>Marzo 2024</t>
        </is>
      </c>
    </row>
    <row r="21" ht="18" customHeight="1">
      <c r="A21" s="4" t="inlineStr">
        <is>
          <t>17/03/2024</t>
        </is>
      </c>
      <c r="B21" s="4" t="inlineStr">
        <is>
          <t>13:30</t>
        </is>
      </c>
      <c r="C21" s="5" t="inlineStr">
        <is>
          <t>Café expreso</t>
        </is>
      </c>
      <c r="D21" s="4" t="n">
        <v>1</v>
      </c>
      <c r="E21" s="8" t="n">
        <v>3500</v>
      </c>
      <c r="F21" s="8" t="n">
        <v>3500</v>
      </c>
      <c r="G21" s="4" t="inlineStr">
        <is>
          <t>Marzo 2024</t>
        </is>
      </c>
    </row>
    <row r="22" ht="18" customHeight="1">
      <c r="A22" s="6" t="inlineStr">
        <is>
          <t>18/03/2024</t>
        </is>
      </c>
      <c r="B22" s="6" t="inlineStr">
        <is>
          <t>11:30</t>
        </is>
      </c>
      <c r="C22" s="7" t="inlineStr">
        <is>
          <t>Sándwich</t>
        </is>
      </c>
      <c r="D22" s="6" t="n">
        <v>2</v>
      </c>
      <c r="E22" s="9" t="n">
        <v>6500</v>
      </c>
      <c r="F22" s="9" t="n">
        <v>13000</v>
      </c>
      <c r="G22" s="6" t="inlineStr">
        <is>
          <t>Marzo 2024</t>
        </is>
      </c>
    </row>
    <row r="23" ht="18" customHeight="1">
      <c r="A23" s="4" t="inlineStr">
        <is>
          <t>19/03/2024</t>
        </is>
      </c>
      <c r="B23" s="4" t="inlineStr">
        <is>
          <t>12:00</t>
        </is>
      </c>
      <c r="C23" s="5" t="inlineStr">
        <is>
          <t>Té frío</t>
        </is>
      </c>
      <c r="D23" s="4" t="n">
        <v>2</v>
      </c>
      <c r="E23" s="8" t="n">
        <v>3000</v>
      </c>
      <c r="F23" s="8" t="n">
        <v>6000</v>
      </c>
      <c r="G23" s="4" t="inlineStr">
        <is>
          <t>Marzo 2024</t>
        </is>
      </c>
    </row>
    <row r="24" ht="18" customHeight="1">
      <c r="A24" s="6" t="inlineStr">
        <is>
          <t>20/03/2024</t>
        </is>
      </c>
      <c r="B24" s="6" t="inlineStr">
        <is>
          <t>18:00</t>
        </is>
      </c>
      <c r="C24" s="7" t="inlineStr">
        <is>
          <t>Capuchino</t>
        </is>
      </c>
      <c r="D24" s="6" t="n">
        <v>1</v>
      </c>
      <c r="E24" s="9" t="n">
        <v>4500</v>
      </c>
      <c r="F24" s="9" t="n">
        <v>4500</v>
      </c>
      <c r="G24" s="6" t="inlineStr">
        <is>
          <t>Marzo 2024</t>
        </is>
      </c>
    </row>
    <row r="25" ht="18" customHeight="1">
      <c r="A25" s="4" t="inlineStr">
        <is>
          <t>21/03/2024</t>
        </is>
      </c>
      <c r="B25" s="4" t="inlineStr">
        <is>
          <t>15:00</t>
        </is>
      </c>
      <c r="C25" s="5" t="inlineStr">
        <is>
          <t>Sándwich</t>
        </is>
      </c>
      <c r="D25" s="4" t="n">
        <v>1</v>
      </c>
      <c r="E25" s="8" t="n">
        <v>6500</v>
      </c>
      <c r="F25" s="8" t="n">
        <v>6500</v>
      </c>
      <c r="G25" s="4" t="inlineStr">
        <is>
          <t>Marzo 2024</t>
        </is>
      </c>
    </row>
    <row r="26" ht="18" customHeight="1">
      <c r="A26" s="6" t="inlineStr">
        <is>
          <t>22/03/2024</t>
        </is>
      </c>
      <c r="B26" s="6" t="inlineStr">
        <is>
          <t>11:30</t>
        </is>
      </c>
      <c r="C26" s="7" t="inlineStr">
        <is>
          <t>Capuchino</t>
        </is>
      </c>
      <c r="D26" s="6" t="n">
        <v>2</v>
      </c>
      <c r="E26" s="9" t="n">
        <v>4500</v>
      </c>
      <c r="F26" s="9" t="n">
        <v>9000</v>
      </c>
      <c r="G26" s="6" t="inlineStr">
        <is>
          <t>Marzo 2024</t>
        </is>
      </c>
    </row>
    <row r="27" ht="18" customHeight="1">
      <c r="A27" s="4" t="inlineStr">
        <is>
          <t>23/03/2024</t>
        </is>
      </c>
      <c r="B27" s="4" t="inlineStr">
        <is>
          <t>16:00</t>
        </is>
      </c>
      <c r="C27" s="5" t="inlineStr">
        <is>
          <t>Sándwich</t>
        </is>
      </c>
      <c r="D27" s="4" t="n">
        <v>1</v>
      </c>
      <c r="E27" s="8" t="n">
        <v>6500</v>
      </c>
      <c r="F27" s="8" t="n">
        <v>6500</v>
      </c>
      <c r="G27" s="4" t="inlineStr">
        <is>
          <t>Marzo 2024</t>
        </is>
      </c>
    </row>
    <row r="28" ht="18" customHeight="1">
      <c r="A28" s="6" t="inlineStr">
        <is>
          <t>24/03/2024</t>
        </is>
      </c>
      <c r="B28" s="6" t="inlineStr">
        <is>
          <t>14:00</t>
        </is>
      </c>
      <c r="C28" s="7" t="inlineStr">
        <is>
          <t>Torta de chocolate</t>
        </is>
      </c>
      <c r="D28" s="6" t="n">
        <v>1</v>
      </c>
      <c r="E28" s="9" t="n">
        <v>5500</v>
      </c>
      <c r="F28" s="9" t="n">
        <v>5500</v>
      </c>
      <c r="G28" s="6" t="inlineStr">
        <is>
          <t>Marzo 2024</t>
        </is>
      </c>
    </row>
    <row r="29" ht="18" customHeight="1">
      <c r="A29" s="4" t="inlineStr">
        <is>
          <t>25/03/2024</t>
        </is>
      </c>
      <c r="B29" s="4" t="inlineStr">
        <is>
          <t>08:55</t>
        </is>
      </c>
      <c r="C29" s="5" t="inlineStr">
        <is>
          <t>Capuchino</t>
        </is>
      </c>
      <c r="D29" s="4" t="n">
        <v>1</v>
      </c>
      <c r="E29" s="8" t="n">
        <v>4500</v>
      </c>
      <c r="F29" s="8" t="n">
        <v>4500</v>
      </c>
      <c r="G29" s="4" t="inlineStr">
        <is>
          <t>Marzo 2024</t>
        </is>
      </c>
    </row>
    <row r="30" ht="18" customHeight="1">
      <c r="A30" s="6" t="inlineStr">
        <is>
          <t>26/03/2024</t>
        </is>
      </c>
      <c r="B30" s="6" t="inlineStr">
        <is>
          <t>07:45</t>
        </is>
      </c>
      <c r="C30" s="7" t="inlineStr">
        <is>
          <t>Torta de chocolate</t>
        </is>
      </c>
      <c r="D30" s="6" t="n">
        <v>2</v>
      </c>
      <c r="E30" s="9" t="n">
        <v>5500</v>
      </c>
      <c r="F30" s="9" t="n">
        <v>11000</v>
      </c>
      <c r="G30" s="6" t="inlineStr">
        <is>
          <t>Marzo 2024</t>
        </is>
      </c>
    </row>
    <row r="31" ht="18" customHeight="1">
      <c r="A31" s="4" t="inlineStr">
        <is>
          <t>27/03/2024</t>
        </is>
      </c>
      <c r="B31" s="4" t="inlineStr">
        <is>
          <t>14:30</t>
        </is>
      </c>
      <c r="C31" s="5" t="inlineStr">
        <is>
          <t>Torta de chocolate</t>
        </is>
      </c>
      <c r="D31" s="4" t="n">
        <v>1</v>
      </c>
      <c r="E31" s="8" t="n">
        <v>5500</v>
      </c>
      <c r="F31" s="8" t="n">
        <v>5500</v>
      </c>
      <c r="G31" s="4" t="inlineStr">
        <is>
          <t>Marzo 2024</t>
        </is>
      </c>
    </row>
    <row r="32" ht="18" customHeight="1">
      <c r="A32" s="6" t="inlineStr">
        <is>
          <t>28/03/2024</t>
        </is>
      </c>
      <c r="B32" s="6" t="inlineStr">
        <is>
          <t>11:30</t>
        </is>
      </c>
      <c r="C32" s="7" t="inlineStr">
        <is>
          <t>Té frío</t>
        </is>
      </c>
      <c r="D32" s="6" t="n">
        <v>1</v>
      </c>
      <c r="E32" s="9" t="n">
        <v>3000</v>
      </c>
      <c r="F32" s="9" t="n">
        <v>3000</v>
      </c>
      <c r="G32" s="6" t="inlineStr">
        <is>
          <t>Marzo 2024</t>
        </is>
      </c>
    </row>
    <row r="33" ht="18" customHeight="1">
      <c r="A33" s="4" t="inlineStr">
        <is>
          <t>29/03/2024</t>
        </is>
      </c>
      <c r="B33" s="4" t="inlineStr">
        <is>
          <t>13:30</t>
        </is>
      </c>
      <c r="C33" s="5" t="inlineStr">
        <is>
          <t>Sándwich</t>
        </is>
      </c>
      <c r="D33" s="4" t="n">
        <v>2</v>
      </c>
      <c r="E33" s="8" t="n">
        <v>6500</v>
      </c>
      <c r="F33" s="8" t="n">
        <v>13000</v>
      </c>
      <c r="G33" s="4" t="inlineStr">
        <is>
          <t>Marzo 2024</t>
        </is>
      </c>
    </row>
    <row r="34" ht="18" customHeight="1">
      <c r="A34" s="6" t="inlineStr">
        <is>
          <t>30/03/2024</t>
        </is>
      </c>
      <c r="B34" s="6" t="inlineStr">
        <is>
          <t>08:10</t>
        </is>
      </c>
      <c r="C34" s="7" t="inlineStr">
        <is>
          <t>Té frío</t>
        </is>
      </c>
      <c r="D34" s="6" t="n">
        <v>2</v>
      </c>
      <c r="E34" s="9" t="n">
        <v>3000</v>
      </c>
      <c r="F34" s="9" t="n">
        <v>6000</v>
      </c>
      <c r="G34" s="6" t="inlineStr">
        <is>
          <t>Marzo 2024</t>
        </is>
      </c>
    </row>
    <row r="35" ht="18" customHeight="1">
      <c r="A35" s="4" t="inlineStr">
        <is>
          <t>01/03/2024</t>
        </is>
      </c>
      <c r="B35" s="4" t="inlineStr">
        <is>
          <t>13:30</t>
        </is>
      </c>
      <c r="C35" s="5" t="inlineStr">
        <is>
          <t>Torta de chocolate</t>
        </is>
      </c>
      <c r="D35" s="4" t="n">
        <v>1</v>
      </c>
      <c r="E35" s="8" t="n">
        <v>5500</v>
      </c>
      <c r="F35" s="8" t="n">
        <v>5500</v>
      </c>
      <c r="G35" s="4" t="inlineStr">
        <is>
          <t>Marzo 2024</t>
        </is>
      </c>
    </row>
    <row r="36" ht="18" customHeight="1">
      <c r="A36" s="6" t="inlineStr">
        <is>
          <t>02/03/2024</t>
        </is>
      </c>
      <c r="B36" s="6" t="inlineStr">
        <is>
          <t>07:45</t>
        </is>
      </c>
      <c r="C36" s="7" t="inlineStr">
        <is>
          <t>Sándwich</t>
        </is>
      </c>
      <c r="D36" s="6" t="n">
        <v>1</v>
      </c>
      <c r="E36" s="9" t="n">
        <v>6500</v>
      </c>
      <c r="F36" s="9" t="n">
        <v>6500</v>
      </c>
      <c r="G36" s="6" t="inlineStr">
        <is>
          <t>Marzo 2024</t>
        </is>
      </c>
    </row>
    <row r="37" ht="18" customHeight="1">
      <c r="A37" s="4" t="inlineStr">
        <is>
          <t>03/03/2024</t>
        </is>
      </c>
      <c r="B37" s="4" t="inlineStr">
        <is>
          <t>17:00</t>
        </is>
      </c>
      <c r="C37" s="5" t="inlineStr">
        <is>
          <t>Sándwich</t>
        </is>
      </c>
      <c r="D37" s="4" t="n">
        <v>1</v>
      </c>
      <c r="E37" s="8" t="n">
        <v>6500</v>
      </c>
      <c r="F37" s="8" t="n">
        <v>6500</v>
      </c>
      <c r="G37" s="4" t="inlineStr">
        <is>
          <t>Marzo 2024</t>
        </is>
      </c>
    </row>
    <row r="38" ht="18" customHeight="1">
      <c r="A38" s="6" t="inlineStr">
        <is>
          <t>04/03/2024</t>
        </is>
      </c>
      <c r="B38" s="6" t="inlineStr">
        <is>
          <t>13:00</t>
        </is>
      </c>
      <c r="C38" s="7" t="inlineStr">
        <is>
          <t>Té frío</t>
        </is>
      </c>
      <c r="D38" s="6" t="n">
        <v>3</v>
      </c>
      <c r="E38" s="9" t="n">
        <v>3000</v>
      </c>
      <c r="F38" s="9" t="n">
        <v>9000</v>
      </c>
      <c r="G38" s="6" t="inlineStr">
        <is>
          <t>Marzo 2024</t>
        </is>
      </c>
    </row>
    <row r="39" ht="18" customHeight="1">
      <c r="A39" s="4" t="inlineStr">
        <is>
          <t>05/03/2024</t>
        </is>
      </c>
      <c r="B39" s="4" t="inlineStr">
        <is>
          <t>17:30</t>
        </is>
      </c>
      <c r="C39" s="5" t="inlineStr">
        <is>
          <t>Capuchino</t>
        </is>
      </c>
      <c r="D39" s="4" t="n">
        <v>2</v>
      </c>
      <c r="E39" s="8" t="n">
        <v>4500</v>
      </c>
      <c r="F39" s="8" t="n">
        <v>9000</v>
      </c>
      <c r="G39" s="4" t="inlineStr">
        <is>
          <t>Marzo 2024</t>
        </is>
      </c>
    </row>
    <row r="40" ht="18" customHeight="1">
      <c r="A40" s="6" t="inlineStr">
        <is>
          <t>06/03/2024</t>
        </is>
      </c>
      <c r="B40" s="6" t="inlineStr">
        <is>
          <t>12:00</t>
        </is>
      </c>
      <c r="C40" s="7" t="inlineStr">
        <is>
          <t>Capuchino</t>
        </is>
      </c>
      <c r="D40" s="6" t="n">
        <v>2</v>
      </c>
      <c r="E40" s="9" t="n">
        <v>4500</v>
      </c>
      <c r="F40" s="9" t="n">
        <v>9000</v>
      </c>
      <c r="G40" s="6" t="inlineStr">
        <is>
          <t>Marzo 2024</t>
        </is>
      </c>
    </row>
    <row r="41" ht="18" customHeight="1">
      <c r="A41" s="4" t="inlineStr">
        <is>
          <t>07/03/2024</t>
        </is>
      </c>
      <c r="B41" s="4" t="inlineStr">
        <is>
          <t>13:30</t>
        </is>
      </c>
      <c r="C41" s="5" t="inlineStr">
        <is>
          <t>Café expreso</t>
        </is>
      </c>
      <c r="D41" s="4" t="n">
        <v>1</v>
      </c>
      <c r="E41" s="8" t="n">
        <v>3500</v>
      </c>
      <c r="F41" s="8" t="n">
        <v>3500</v>
      </c>
      <c r="G41" s="4" t="inlineStr">
        <is>
          <t>Marzo 2024</t>
        </is>
      </c>
    </row>
    <row r="42" ht="18" customHeight="1">
      <c r="A42" s="6" t="inlineStr">
        <is>
          <t>08/03/2024</t>
        </is>
      </c>
      <c r="B42" s="6" t="inlineStr">
        <is>
          <t>08:55</t>
        </is>
      </c>
      <c r="C42" s="7" t="inlineStr">
        <is>
          <t>Café expreso</t>
        </is>
      </c>
      <c r="D42" s="6" t="n">
        <v>1</v>
      </c>
      <c r="E42" s="9" t="n">
        <v>3500</v>
      </c>
      <c r="F42" s="9" t="n">
        <v>3500</v>
      </c>
      <c r="G42" s="6" t="inlineStr">
        <is>
          <t>Marzo 2024</t>
        </is>
      </c>
    </row>
    <row r="43" ht="18" customHeight="1">
      <c r="A43" s="4" t="inlineStr">
        <is>
          <t>09/03/2024</t>
        </is>
      </c>
      <c r="B43" s="4" t="inlineStr">
        <is>
          <t>12:15</t>
        </is>
      </c>
      <c r="C43" s="5" t="inlineStr">
        <is>
          <t>Sándwich</t>
        </is>
      </c>
      <c r="D43" s="4" t="n">
        <v>2</v>
      </c>
      <c r="E43" s="8" t="n">
        <v>6500</v>
      </c>
      <c r="F43" s="8" t="n">
        <v>13000</v>
      </c>
      <c r="G43" s="4" t="inlineStr">
        <is>
          <t>Marzo 2024</t>
        </is>
      </c>
    </row>
    <row r="44" ht="18" customHeight="1">
      <c r="A44" s="6" t="inlineStr">
        <is>
          <t>10/03/2024</t>
        </is>
      </c>
      <c r="B44" s="6" t="inlineStr">
        <is>
          <t>08:10</t>
        </is>
      </c>
      <c r="C44" s="7" t="inlineStr">
        <is>
          <t>Torta de chocolate</t>
        </is>
      </c>
      <c r="D44" s="6" t="n">
        <v>2</v>
      </c>
      <c r="E44" s="9" t="n">
        <v>5500</v>
      </c>
      <c r="F44" s="9" t="n">
        <v>11000</v>
      </c>
      <c r="G44" s="6" t="inlineStr">
        <is>
          <t>Marzo 2024</t>
        </is>
      </c>
    </row>
    <row r="45" ht="18" customHeight="1">
      <c r="A45" s="4" t="inlineStr">
        <is>
          <t>11/03/2024</t>
        </is>
      </c>
      <c r="B45" s="4" t="inlineStr">
        <is>
          <t>14:30</t>
        </is>
      </c>
      <c r="C45" s="5" t="inlineStr">
        <is>
          <t>Café expreso</t>
        </is>
      </c>
      <c r="D45" s="4" t="n">
        <v>2</v>
      </c>
      <c r="E45" s="8" t="n">
        <v>3500</v>
      </c>
      <c r="F45" s="8" t="n">
        <v>7000</v>
      </c>
      <c r="G45" s="4" t="inlineStr">
        <is>
          <t>Marzo 2024</t>
        </is>
      </c>
    </row>
    <row r="46" ht="18" customHeight="1">
      <c r="A46" s="6" t="inlineStr">
        <is>
          <t>12/03/2024</t>
        </is>
      </c>
      <c r="B46" s="6" t="inlineStr">
        <is>
          <t>12:45</t>
        </is>
      </c>
      <c r="C46" s="7" t="inlineStr">
        <is>
          <t>Capuchino</t>
        </is>
      </c>
      <c r="D46" s="6" t="n">
        <v>1</v>
      </c>
      <c r="E46" s="9" t="n">
        <v>4500</v>
      </c>
      <c r="F46" s="9" t="n">
        <v>4500</v>
      </c>
      <c r="G46" s="6" t="inlineStr">
        <is>
          <t>Marzo 2024</t>
        </is>
      </c>
    </row>
    <row r="47" ht="18" customHeight="1">
      <c r="A47" s="4" t="inlineStr">
        <is>
          <t>13/03/2024</t>
        </is>
      </c>
      <c r="B47" s="4" t="inlineStr">
        <is>
          <t>18:00</t>
        </is>
      </c>
      <c r="C47" s="5" t="inlineStr">
        <is>
          <t>Torta de chocolate</t>
        </is>
      </c>
      <c r="D47" s="4" t="n">
        <v>1</v>
      </c>
      <c r="E47" s="8" t="n">
        <v>5500</v>
      </c>
      <c r="F47" s="8" t="n">
        <v>5500</v>
      </c>
      <c r="G47" s="4" t="inlineStr">
        <is>
          <t>Marzo 2024</t>
        </is>
      </c>
    </row>
    <row r="48" ht="18" customHeight="1">
      <c r="A48" s="6" t="inlineStr">
        <is>
          <t>14/03/2024</t>
        </is>
      </c>
      <c r="B48" s="6" t="inlineStr">
        <is>
          <t>17:30</t>
        </is>
      </c>
      <c r="C48" s="7" t="inlineStr">
        <is>
          <t>Capuchino</t>
        </is>
      </c>
      <c r="D48" s="6" t="n">
        <v>1</v>
      </c>
      <c r="E48" s="9" t="n">
        <v>4500</v>
      </c>
      <c r="F48" s="9" t="n">
        <v>4500</v>
      </c>
      <c r="G48" s="6" t="inlineStr">
        <is>
          <t>Marzo 2024</t>
        </is>
      </c>
    </row>
    <row r="49" ht="18" customHeight="1">
      <c r="A49" s="4" t="inlineStr">
        <is>
          <t>15/03/2024</t>
        </is>
      </c>
      <c r="B49" s="4" t="inlineStr">
        <is>
          <t>08:55</t>
        </is>
      </c>
      <c r="C49" s="5" t="inlineStr">
        <is>
          <t>Torta de chocolate</t>
        </is>
      </c>
      <c r="D49" s="4" t="n">
        <v>1</v>
      </c>
      <c r="E49" s="8" t="n">
        <v>5500</v>
      </c>
      <c r="F49" s="8" t="n">
        <v>5500</v>
      </c>
      <c r="G49" s="4" t="inlineStr">
        <is>
          <t>Marzo 2024</t>
        </is>
      </c>
    </row>
    <row r="50" ht="18" customHeight="1">
      <c r="A50" s="6" t="inlineStr">
        <is>
          <t>16/03/2024</t>
        </is>
      </c>
      <c r="B50" s="6" t="inlineStr">
        <is>
          <t>10:00</t>
        </is>
      </c>
      <c r="C50" s="7" t="inlineStr">
        <is>
          <t>Café expreso</t>
        </is>
      </c>
      <c r="D50" s="6" t="n">
        <v>1</v>
      </c>
      <c r="E50" s="9" t="n">
        <v>3500</v>
      </c>
      <c r="F50" s="9" t="n">
        <v>3500</v>
      </c>
      <c r="G50" s="6" t="inlineStr">
        <is>
          <t>Marzo 2024</t>
        </is>
      </c>
    </row>
    <row r="51" ht="18" customHeight="1">
      <c r="A51" s="4" t="inlineStr">
        <is>
          <t>17/03/2024</t>
        </is>
      </c>
      <c r="B51" s="4" t="inlineStr">
        <is>
          <t>13:30</t>
        </is>
      </c>
      <c r="C51" s="5" t="inlineStr">
        <is>
          <t>Sándwich</t>
        </is>
      </c>
      <c r="D51" s="4" t="n">
        <v>1</v>
      </c>
      <c r="E51" s="8" t="n">
        <v>6500</v>
      </c>
      <c r="F51" s="8" t="n">
        <v>6500</v>
      </c>
      <c r="G51" s="4" t="inlineStr">
        <is>
          <t>Marzo 2024</t>
        </is>
      </c>
    </row>
    <row r="52" ht="18" customHeight="1">
      <c r="A52" s="6" t="inlineStr">
        <is>
          <t>18/03/2024</t>
        </is>
      </c>
      <c r="B52" s="6" t="inlineStr">
        <is>
          <t>10:30</t>
        </is>
      </c>
      <c r="C52" s="7" t="inlineStr">
        <is>
          <t>Torta de chocolate</t>
        </is>
      </c>
      <c r="D52" s="6" t="n">
        <v>1</v>
      </c>
      <c r="E52" s="9" t="n">
        <v>5500</v>
      </c>
      <c r="F52" s="9" t="n">
        <v>5500</v>
      </c>
      <c r="G52" s="6" t="inlineStr">
        <is>
          <t>Marzo 2024</t>
        </is>
      </c>
    </row>
    <row r="53" ht="18" customHeight="1">
      <c r="A53" s="4" t="inlineStr">
        <is>
          <t>19/03/2024</t>
        </is>
      </c>
      <c r="B53" s="4" t="inlineStr">
        <is>
          <t>12:45</t>
        </is>
      </c>
      <c r="C53" s="5" t="inlineStr">
        <is>
          <t>Capuchino</t>
        </is>
      </c>
      <c r="D53" s="4" t="n">
        <v>1</v>
      </c>
      <c r="E53" s="8" t="n">
        <v>4500</v>
      </c>
      <c r="F53" s="8" t="n">
        <v>4500</v>
      </c>
      <c r="G53" s="4" t="inlineStr">
        <is>
          <t>Marzo 2024</t>
        </is>
      </c>
    </row>
    <row r="54" ht="18" customHeight="1">
      <c r="A54" s="6" t="inlineStr">
        <is>
          <t>20/03/2024</t>
        </is>
      </c>
      <c r="B54" s="6" t="inlineStr">
        <is>
          <t>15:00</t>
        </is>
      </c>
      <c r="C54" s="7" t="inlineStr">
        <is>
          <t>Té frío</t>
        </is>
      </c>
      <c r="D54" s="6" t="n">
        <v>2</v>
      </c>
      <c r="E54" s="9" t="n">
        <v>3000</v>
      </c>
      <c r="F54" s="9" t="n">
        <v>6000</v>
      </c>
      <c r="G54" s="6" t="inlineStr">
        <is>
          <t>Marzo 2024</t>
        </is>
      </c>
    </row>
    <row r="55" ht="18" customHeight="1">
      <c r="A55" s="4" t="inlineStr">
        <is>
          <t>21/03/2024</t>
        </is>
      </c>
      <c r="B55" s="4" t="inlineStr">
        <is>
          <t>18:00</t>
        </is>
      </c>
      <c r="C55" s="5" t="inlineStr">
        <is>
          <t>Capuchino</t>
        </is>
      </c>
      <c r="D55" s="4" t="n">
        <v>1</v>
      </c>
      <c r="E55" s="8" t="n">
        <v>4500</v>
      </c>
      <c r="F55" s="8" t="n">
        <v>4500</v>
      </c>
      <c r="G55" s="4" t="inlineStr">
        <is>
          <t>Marzo 2024</t>
        </is>
      </c>
    </row>
    <row r="56" ht="18" customHeight="1">
      <c r="A56" s="6" t="inlineStr">
        <is>
          <t>22/03/2024</t>
        </is>
      </c>
      <c r="B56" s="6" t="inlineStr">
        <is>
          <t>17:00</t>
        </is>
      </c>
      <c r="C56" s="7" t="inlineStr">
        <is>
          <t>Torta de chocolate</t>
        </is>
      </c>
      <c r="D56" s="6" t="n">
        <v>2</v>
      </c>
      <c r="E56" s="9" t="n">
        <v>5500</v>
      </c>
      <c r="F56" s="9" t="n">
        <v>11000</v>
      </c>
      <c r="G56" s="6" t="inlineStr">
        <is>
          <t>Marzo 2024</t>
        </is>
      </c>
    </row>
    <row r="57" ht="18" customHeight="1">
      <c r="A57" s="4" t="inlineStr">
        <is>
          <t>23/03/2024</t>
        </is>
      </c>
      <c r="B57" s="4" t="inlineStr">
        <is>
          <t>13:00</t>
        </is>
      </c>
      <c r="C57" s="5" t="inlineStr">
        <is>
          <t>Sándwich</t>
        </is>
      </c>
      <c r="D57" s="4" t="n">
        <v>1</v>
      </c>
      <c r="E57" s="8" t="n">
        <v>6500</v>
      </c>
      <c r="F57" s="8" t="n">
        <v>6500</v>
      </c>
      <c r="G57" s="4" t="inlineStr">
        <is>
          <t>Marzo 2024</t>
        </is>
      </c>
    </row>
    <row r="58" ht="18" customHeight="1">
      <c r="A58" s="6" t="inlineStr">
        <is>
          <t>24/03/2024</t>
        </is>
      </c>
      <c r="B58" s="6" t="inlineStr">
        <is>
          <t>14:30</t>
        </is>
      </c>
      <c r="C58" s="7" t="inlineStr">
        <is>
          <t>Torta de chocolate</t>
        </is>
      </c>
      <c r="D58" s="6" t="n">
        <v>3</v>
      </c>
      <c r="E58" s="9" t="n">
        <v>5500</v>
      </c>
      <c r="F58" s="9" t="n">
        <v>16500</v>
      </c>
      <c r="G58" s="6" t="inlineStr">
        <is>
          <t>Marzo 2024</t>
        </is>
      </c>
    </row>
    <row r="59" ht="18" customHeight="1">
      <c r="A59" s="4" t="inlineStr">
        <is>
          <t>25/03/2024</t>
        </is>
      </c>
      <c r="B59" s="4" t="inlineStr">
        <is>
          <t>12:15</t>
        </is>
      </c>
      <c r="C59" s="5" t="inlineStr">
        <is>
          <t>Capuchino</t>
        </is>
      </c>
      <c r="D59" s="4" t="n">
        <v>2</v>
      </c>
      <c r="E59" s="8" t="n">
        <v>4500</v>
      </c>
      <c r="F59" s="8" t="n">
        <v>9000</v>
      </c>
      <c r="G59" s="4" t="inlineStr">
        <is>
          <t>Marzo 2024</t>
        </is>
      </c>
    </row>
    <row r="60" ht="18" customHeight="1">
      <c r="A60" s="6" t="inlineStr">
        <is>
          <t>26/03/2024</t>
        </is>
      </c>
      <c r="B60" s="6" t="inlineStr">
        <is>
          <t>12:15</t>
        </is>
      </c>
      <c r="C60" s="7" t="inlineStr">
        <is>
          <t>Café expreso</t>
        </is>
      </c>
      <c r="D60" s="6" t="n">
        <v>3</v>
      </c>
      <c r="E60" s="9" t="n">
        <v>3500</v>
      </c>
      <c r="F60" s="9" t="n">
        <v>10500</v>
      </c>
      <c r="G60" s="6" t="inlineStr">
        <is>
          <t>Marzo 2024</t>
        </is>
      </c>
    </row>
    <row r="61" ht="18" customHeight="1">
      <c r="A61" s="4" t="inlineStr">
        <is>
          <t>27/03/2024</t>
        </is>
      </c>
      <c r="B61" s="4" t="inlineStr">
        <is>
          <t>09:45</t>
        </is>
      </c>
      <c r="C61" s="5" t="inlineStr">
        <is>
          <t>Café expreso</t>
        </is>
      </c>
      <c r="D61" s="4" t="n">
        <v>1</v>
      </c>
      <c r="E61" s="8" t="n">
        <v>3500</v>
      </c>
      <c r="F61" s="8" t="n">
        <v>3500</v>
      </c>
      <c r="G61" s="4" t="inlineStr">
        <is>
          <t>Marzo 2024</t>
        </is>
      </c>
    </row>
    <row r="62" ht="18" customHeight="1">
      <c r="A62" s="6" t="inlineStr">
        <is>
          <t>28/03/2024</t>
        </is>
      </c>
      <c r="B62" s="6" t="inlineStr">
        <is>
          <t>11:30</t>
        </is>
      </c>
      <c r="C62" s="7" t="inlineStr">
        <is>
          <t>Capuchino</t>
        </is>
      </c>
      <c r="D62" s="6" t="n">
        <v>1</v>
      </c>
      <c r="E62" s="9" t="n">
        <v>4500</v>
      </c>
      <c r="F62" s="9" t="n">
        <v>4500</v>
      </c>
      <c r="G62" s="6" t="inlineStr">
        <is>
          <t>Marzo 2024</t>
        </is>
      </c>
    </row>
    <row r="63" ht="18" customHeight="1">
      <c r="A63" s="4" t="inlineStr">
        <is>
          <t>29/03/2024</t>
        </is>
      </c>
      <c r="B63" s="4" t="inlineStr">
        <is>
          <t>07:15</t>
        </is>
      </c>
      <c r="C63" s="5" t="inlineStr">
        <is>
          <t>Sándwich</t>
        </is>
      </c>
      <c r="D63" s="4" t="n">
        <v>1</v>
      </c>
      <c r="E63" s="8" t="n">
        <v>6500</v>
      </c>
      <c r="F63" s="8" t="n">
        <v>6500</v>
      </c>
      <c r="G63" s="4" t="inlineStr">
        <is>
          <t>Marzo 2024</t>
        </is>
      </c>
    </row>
    <row r="64" ht="18" customHeight="1">
      <c r="A64" s="6" t="inlineStr">
        <is>
          <t>30/03/2024</t>
        </is>
      </c>
      <c r="B64" s="6" t="inlineStr">
        <is>
          <t>08:30</t>
        </is>
      </c>
      <c r="C64" s="7" t="inlineStr">
        <is>
          <t>Té frío</t>
        </is>
      </c>
      <c r="D64" s="6" t="n">
        <v>2</v>
      </c>
      <c r="E64" s="9" t="n">
        <v>3000</v>
      </c>
      <c r="F64" s="9" t="n">
        <v>6000</v>
      </c>
      <c r="G64" s="6" t="inlineStr">
        <is>
          <t>Marzo 2024</t>
        </is>
      </c>
    </row>
    <row r="65" ht="18" customHeight="1">
      <c r="A65" s="4" t="inlineStr">
        <is>
          <t>01/03/2024</t>
        </is>
      </c>
      <c r="B65" s="4" t="inlineStr">
        <is>
          <t>07:15</t>
        </is>
      </c>
      <c r="C65" s="5" t="inlineStr">
        <is>
          <t>Torta de chocolate</t>
        </is>
      </c>
      <c r="D65" s="4" t="n">
        <v>2</v>
      </c>
      <c r="E65" s="8" t="n">
        <v>5500</v>
      </c>
      <c r="F65" s="8" t="n">
        <v>11000</v>
      </c>
      <c r="G65" s="4" t="inlineStr">
        <is>
          <t>Marzo 2024</t>
        </is>
      </c>
    </row>
    <row r="66" ht="18" customHeight="1">
      <c r="A66" s="6" t="inlineStr">
        <is>
          <t>02/03/2024</t>
        </is>
      </c>
      <c r="B66" s="6" t="inlineStr">
        <is>
          <t>16:00</t>
        </is>
      </c>
      <c r="C66" s="7" t="inlineStr">
        <is>
          <t>Café expreso</t>
        </is>
      </c>
      <c r="D66" s="6" t="n">
        <v>1</v>
      </c>
      <c r="E66" s="9" t="n">
        <v>3500</v>
      </c>
      <c r="F66" s="9" t="n">
        <v>3500</v>
      </c>
      <c r="G66" s="6" t="inlineStr">
        <is>
          <t>Marzo 2024</t>
        </is>
      </c>
    </row>
    <row r="67" ht="18" customHeight="1">
      <c r="A67" s="4" t="inlineStr">
        <is>
          <t>03/03/2024</t>
        </is>
      </c>
      <c r="B67" s="4" t="inlineStr">
        <is>
          <t>10:30</t>
        </is>
      </c>
      <c r="C67" s="5" t="inlineStr">
        <is>
          <t>Capuchino</t>
        </is>
      </c>
      <c r="D67" s="4" t="n">
        <v>3</v>
      </c>
      <c r="E67" s="8" t="n">
        <v>4500</v>
      </c>
      <c r="F67" s="8" t="n">
        <v>13500</v>
      </c>
      <c r="G67" s="4" t="inlineStr">
        <is>
          <t>Marzo 2024</t>
        </is>
      </c>
    </row>
    <row r="68" ht="18" customHeight="1">
      <c r="A68" s="6" t="inlineStr">
        <is>
          <t>04/03/2024</t>
        </is>
      </c>
      <c r="B68" s="6" t="inlineStr">
        <is>
          <t>12:00</t>
        </is>
      </c>
      <c r="C68" s="7" t="inlineStr">
        <is>
          <t>Torta de chocolate</t>
        </is>
      </c>
      <c r="D68" s="6" t="n">
        <v>2</v>
      </c>
      <c r="E68" s="9" t="n">
        <v>5500</v>
      </c>
      <c r="F68" s="9" t="n">
        <v>11000</v>
      </c>
      <c r="G68" s="6" t="inlineStr">
        <is>
          <t>Marzo 2024</t>
        </is>
      </c>
    </row>
    <row r="69" ht="18" customHeight="1">
      <c r="A69" s="4" t="inlineStr">
        <is>
          <t>05/03/2024</t>
        </is>
      </c>
      <c r="B69" s="4" t="inlineStr">
        <is>
          <t>13:30</t>
        </is>
      </c>
      <c r="C69" s="5" t="inlineStr">
        <is>
          <t>Té frío</t>
        </is>
      </c>
      <c r="D69" s="4" t="n">
        <v>1</v>
      </c>
      <c r="E69" s="8" t="n">
        <v>3000</v>
      </c>
      <c r="F69" s="8" t="n">
        <v>3000</v>
      </c>
      <c r="G69" s="4" t="inlineStr">
        <is>
          <t>Marzo 2024</t>
        </is>
      </c>
    </row>
    <row r="70" ht="18" customHeight="1">
      <c r="A70" s="6" t="inlineStr">
        <is>
          <t>06/03/2024</t>
        </is>
      </c>
      <c r="B70" s="6" t="inlineStr">
        <is>
          <t>13:30</t>
        </is>
      </c>
      <c r="C70" s="7" t="inlineStr">
        <is>
          <t>Torta de chocolate</t>
        </is>
      </c>
      <c r="D70" s="6" t="n">
        <v>2</v>
      </c>
      <c r="E70" s="9" t="n">
        <v>5500</v>
      </c>
      <c r="F70" s="9" t="n">
        <v>11000</v>
      </c>
      <c r="G70" s="6" t="inlineStr">
        <is>
          <t>Marzo 2024</t>
        </is>
      </c>
    </row>
    <row r="71" ht="18" customHeight="1">
      <c r="A71" s="4" t="inlineStr">
        <is>
          <t>07/03/2024</t>
        </is>
      </c>
      <c r="B71" s="4" t="inlineStr">
        <is>
          <t>08:55</t>
        </is>
      </c>
      <c r="C71" s="5" t="inlineStr">
        <is>
          <t>Té frío</t>
        </is>
      </c>
      <c r="D71" s="4" t="n">
        <v>1</v>
      </c>
      <c r="E71" s="8" t="n">
        <v>3000</v>
      </c>
      <c r="F71" s="8" t="n">
        <v>3000</v>
      </c>
      <c r="G71" s="4" t="inlineStr">
        <is>
          <t>Marzo 2024</t>
        </is>
      </c>
    </row>
    <row r="72" ht="18" customHeight="1">
      <c r="A72" s="6" t="inlineStr">
        <is>
          <t>08/03/2024</t>
        </is>
      </c>
      <c r="B72" s="6" t="inlineStr">
        <is>
          <t>18:30</t>
        </is>
      </c>
      <c r="C72" s="7" t="inlineStr">
        <is>
          <t>Café expreso</t>
        </is>
      </c>
      <c r="D72" s="6" t="n">
        <v>1</v>
      </c>
      <c r="E72" s="9" t="n">
        <v>3500</v>
      </c>
      <c r="F72" s="9" t="n">
        <v>3500</v>
      </c>
      <c r="G72" s="6" t="inlineStr">
        <is>
          <t>Marzo 2024</t>
        </is>
      </c>
    </row>
    <row r="73" ht="18" customHeight="1">
      <c r="A73" s="4" t="inlineStr">
        <is>
          <t>09/03/2024</t>
        </is>
      </c>
      <c r="B73" s="4" t="inlineStr">
        <is>
          <t>09:20</t>
        </is>
      </c>
      <c r="C73" s="5" t="inlineStr">
        <is>
          <t>Capuchino</t>
        </is>
      </c>
      <c r="D73" s="4" t="n">
        <v>3</v>
      </c>
      <c r="E73" s="8" t="n">
        <v>4500</v>
      </c>
      <c r="F73" s="8" t="n">
        <v>13500</v>
      </c>
      <c r="G73" s="4" t="inlineStr">
        <is>
          <t>Marzo 2024</t>
        </is>
      </c>
    </row>
    <row r="74" ht="18" customHeight="1">
      <c r="A74" s="6" t="inlineStr">
        <is>
          <t>10/03/2024</t>
        </is>
      </c>
      <c r="B74" s="6" t="inlineStr">
        <is>
          <t>14:00</t>
        </is>
      </c>
      <c r="C74" s="7" t="inlineStr">
        <is>
          <t>Té frío</t>
        </is>
      </c>
      <c r="D74" s="6" t="n">
        <v>1</v>
      </c>
      <c r="E74" s="9" t="n">
        <v>3000</v>
      </c>
      <c r="F74" s="9" t="n">
        <v>3000</v>
      </c>
      <c r="G74" s="6" t="inlineStr">
        <is>
          <t>Marzo 2024</t>
        </is>
      </c>
    </row>
    <row r="75" ht="18" customHeight="1">
      <c r="A75" s="4" t="inlineStr">
        <is>
          <t>11/03/2024</t>
        </is>
      </c>
      <c r="B75" s="4" t="inlineStr">
        <is>
          <t>14:30</t>
        </is>
      </c>
      <c r="C75" s="5" t="inlineStr">
        <is>
          <t>Capuchino</t>
        </is>
      </c>
      <c r="D75" s="4" t="n">
        <v>3</v>
      </c>
      <c r="E75" s="8" t="n">
        <v>4500</v>
      </c>
      <c r="F75" s="8" t="n">
        <v>13500</v>
      </c>
      <c r="G75" s="4" t="inlineStr">
        <is>
          <t>Marzo 2024</t>
        </is>
      </c>
    </row>
    <row r="76" ht="18" customHeight="1">
      <c r="A76" s="6" t="inlineStr">
        <is>
          <t>12/03/2024</t>
        </is>
      </c>
      <c r="B76" s="6" t="inlineStr">
        <is>
          <t>11:00</t>
        </is>
      </c>
      <c r="C76" s="7" t="inlineStr">
        <is>
          <t>Torta de chocolate</t>
        </is>
      </c>
      <c r="D76" s="6" t="n">
        <v>2</v>
      </c>
      <c r="E76" s="9" t="n">
        <v>5500</v>
      </c>
      <c r="F76" s="9" t="n">
        <v>11000</v>
      </c>
      <c r="G76" s="6" t="inlineStr">
        <is>
          <t>Marzo 2024</t>
        </is>
      </c>
    </row>
    <row r="77" ht="18" customHeight="1">
      <c r="A77" s="4" t="inlineStr">
        <is>
          <t>13/03/2024</t>
        </is>
      </c>
      <c r="B77" s="4" t="inlineStr">
        <is>
          <t>18:00</t>
        </is>
      </c>
      <c r="C77" s="5" t="inlineStr">
        <is>
          <t>Torta de chocolate</t>
        </is>
      </c>
      <c r="D77" s="4" t="n">
        <v>1</v>
      </c>
      <c r="E77" s="8" t="n">
        <v>5500</v>
      </c>
      <c r="F77" s="8" t="n">
        <v>5500</v>
      </c>
      <c r="G77" s="4" t="inlineStr">
        <is>
          <t>Marzo 2024</t>
        </is>
      </c>
    </row>
    <row r="78" ht="18" customHeight="1">
      <c r="A78" s="6" t="inlineStr">
        <is>
          <t>14/03/2024</t>
        </is>
      </c>
      <c r="B78" s="6" t="inlineStr">
        <is>
          <t>12:00</t>
        </is>
      </c>
      <c r="C78" s="7" t="inlineStr">
        <is>
          <t>Torta de chocolate</t>
        </is>
      </c>
      <c r="D78" s="6" t="n">
        <v>2</v>
      </c>
      <c r="E78" s="9" t="n">
        <v>5500</v>
      </c>
      <c r="F78" s="9" t="n">
        <v>11000</v>
      </c>
      <c r="G78" s="6" t="inlineStr">
        <is>
          <t>Marzo 2024</t>
        </is>
      </c>
    </row>
    <row r="79" ht="18" customHeight="1">
      <c r="A79" s="4" t="inlineStr">
        <is>
          <t>15/03/2024</t>
        </is>
      </c>
      <c r="B79" s="4" t="inlineStr">
        <is>
          <t>10:00</t>
        </is>
      </c>
      <c r="C79" s="5" t="inlineStr">
        <is>
          <t>Torta de chocolate</t>
        </is>
      </c>
      <c r="D79" s="4" t="n">
        <v>1</v>
      </c>
      <c r="E79" s="8" t="n">
        <v>5500</v>
      </c>
      <c r="F79" s="8" t="n">
        <v>5500</v>
      </c>
      <c r="G79" s="4" t="inlineStr">
        <is>
          <t>Marzo 2024</t>
        </is>
      </c>
    </row>
    <row r="80" ht="18" customHeight="1">
      <c r="A80" s="6" t="inlineStr">
        <is>
          <t>16/03/2024</t>
        </is>
      </c>
      <c r="B80" s="6" t="inlineStr">
        <is>
          <t>11:30</t>
        </is>
      </c>
      <c r="C80" s="7" t="inlineStr">
        <is>
          <t>Té frío</t>
        </is>
      </c>
      <c r="D80" s="6" t="n">
        <v>2</v>
      </c>
      <c r="E80" s="9" t="n">
        <v>3000</v>
      </c>
      <c r="F80" s="9" t="n">
        <v>6000</v>
      </c>
      <c r="G80" s="6" t="inlineStr">
        <is>
          <t>Marzo 2024</t>
        </is>
      </c>
    </row>
    <row r="81" ht="18" customHeight="1">
      <c r="A81" s="4" t="inlineStr">
        <is>
          <t>17/03/2024</t>
        </is>
      </c>
      <c r="B81" s="4" t="inlineStr">
        <is>
          <t>09:45</t>
        </is>
      </c>
      <c r="C81" s="5" t="inlineStr">
        <is>
          <t>Sándwich</t>
        </is>
      </c>
      <c r="D81" s="4" t="n">
        <v>2</v>
      </c>
      <c r="E81" s="8" t="n">
        <v>6500</v>
      </c>
      <c r="F81" s="8" t="n">
        <v>13000</v>
      </c>
      <c r="G81" s="4" t="inlineStr">
        <is>
          <t>Marzo 2024</t>
        </is>
      </c>
    </row>
    <row r="82" ht="18" customHeight="1">
      <c r="A82" s="6" t="inlineStr">
        <is>
          <t>18/03/2024</t>
        </is>
      </c>
      <c r="B82" s="6" t="inlineStr">
        <is>
          <t>18:30</t>
        </is>
      </c>
      <c r="C82" s="7" t="inlineStr">
        <is>
          <t>Sándwich</t>
        </is>
      </c>
      <c r="D82" s="6" t="n">
        <v>2</v>
      </c>
      <c r="E82" s="9" t="n">
        <v>6500</v>
      </c>
      <c r="F82" s="9" t="n">
        <v>13000</v>
      </c>
      <c r="G82" s="6" t="inlineStr">
        <is>
          <t>Marzo 2024</t>
        </is>
      </c>
    </row>
    <row r="83" ht="18" customHeight="1">
      <c r="A83" s="4" t="inlineStr">
        <is>
          <t>19/03/2024</t>
        </is>
      </c>
      <c r="B83" s="4" t="inlineStr">
        <is>
          <t>14:00</t>
        </is>
      </c>
      <c r="C83" s="5" t="inlineStr">
        <is>
          <t>Sándwich</t>
        </is>
      </c>
      <c r="D83" s="4" t="n">
        <v>1</v>
      </c>
      <c r="E83" s="8" t="n">
        <v>6500</v>
      </c>
      <c r="F83" s="8" t="n">
        <v>6500</v>
      </c>
      <c r="G83" s="4" t="inlineStr">
        <is>
          <t>Marzo 2024</t>
        </is>
      </c>
    </row>
    <row r="84" ht="18" customHeight="1">
      <c r="A84" s="6" t="inlineStr">
        <is>
          <t>20/03/2024</t>
        </is>
      </c>
      <c r="B84" s="6" t="inlineStr">
        <is>
          <t>07:15</t>
        </is>
      </c>
      <c r="C84" s="7" t="inlineStr">
        <is>
          <t>Té frío</t>
        </is>
      </c>
      <c r="D84" s="6" t="n">
        <v>3</v>
      </c>
      <c r="E84" s="9" t="n">
        <v>3000</v>
      </c>
      <c r="F84" s="9" t="n">
        <v>9000</v>
      </c>
      <c r="G84" s="6" t="inlineStr">
        <is>
          <t>Marzo 2024</t>
        </is>
      </c>
    </row>
    <row r="85" ht="18" customHeight="1">
      <c r="A85" s="4" t="inlineStr">
        <is>
          <t>21/03/2024</t>
        </is>
      </c>
      <c r="B85" s="4" t="inlineStr">
        <is>
          <t>13:30</t>
        </is>
      </c>
      <c r="C85" s="5" t="inlineStr">
        <is>
          <t>Torta de chocolate</t>
        </is>
      </c>
      <c r="D85" s="4" t="n">
        <v>1</v>
      </c>
      <c r="E85" s="8" t="n">
        <v>5500</v>
      </c>
      <c r="F85" s="8" t="n">
        <v>5500</v>
      </c>
      <c r="G85" s="4" t="inlineStr">
        <is>
          <t>Marzo 2024</t>
        </is>
      </c>
    </row>
    <row r="86" ht="18" customHeight="1">
      <c r="A86" s="6" t="inlineStr">
        <is>
          <t>22/03/2024</t>
        </is>
      </c>
      <c r="B86" s="6" t="inlineStr">
        <is>
          <t>16:00</t>
        </is>
      </c>
      <c r="C86" s="7" t="inlineStr">
        <is>
          <t>Capuchino</t>
        </is>
      </c>
      <c r="D86" s="6" t="n">
        <v>3</v>
      </c>
      <c r="E86" s="9" t="n">
        <v>4500</v>
      </c>
      <c r="F86" s="9" t="n">
        <v>13500</v>
      </c>
      <c r="G86" s="6" t="inlineStr">
        <is>
          <t>Marzo 2024</t>
        </is>
      </c>
    </row>
    <row r="87" ht="18" customHeight="1">
      <c r="A87" s="4" t="inlineStr">
        <is>
          <t>23/03/2024</t>
        </is>
      </c>
      <c r="B87" s="4" t="inlineStr">
        <is>
          <t>18:30</t>
        </is>
      </c>
      <c r="C87" s="5" t="inlineStr">
        <is>
          <t>Torta de chocolate</t>
        </is>
      </c>
      <c r="D87" s="4" t="n">
        <v>2</v>
      </c>
      <c r="E87" s="8" t="n">
        <v>5500</v>
      </c>
      <c r="F87" s="8" t="n">
        <v>11000</v>
      </c>
      <c r="G87" s="4" t="inlineStr">
        <is>
          <t>Marzo 2024</t>
        </is>
      </c>
    </row>
    <row r="88" ht="18" customHeight="1">
      <c r="A88" s="6" t="inlineStr">
        <is>
          <t>24/03/2024</t>
        </is>
      </c>
      <c r="B88" s="6" t="inlineStr">
        <is>
          <t>08:10</t>
        </is>
      </c>
      <c r="C88" s="7" t="inlineStr">
        <is>
          <t>Torta de chocolate</t>
        </is>
      </c>
      <c r="D88" s="6" t="n">
        <v>1</v>
      </c>
      <c r="E88" s="9" t="n">
        <v>5500</v>
      </c>
      <c r="F88" s="9" t="n">
        <v>5500</v>
      </c>
      <c r="G88" s="6" t="inlineStr">
        <is>
          <t>Marzo 2024</t>
        </is>
      </c>
    </row>
    <row r="89" ht="18" customHeight="1">
      <c r="A89" s="4" t="inlineStr">
        <is>
          <t>25/03/2024</t>
        </is>
      </c>
      <c r="B89" s="4" t="inlineStr">
        <is>
          <t>13:30</t>
        </is>
      </c>
      <c r="C89" s="5" t="inlineStr">
        <is>
          <t>Capuchino</t>
        </is>
      </c>
      <c r="D89" s="4" t="n">
        <v>1</v>
      </c>
      <c r="E89" s="8" t="n">
        <v>4500</v>
      </c>
      <c r="F89" s="8" t="n">
        <v>4500</v>
      </c>
      <c r="G89" s="4" t="inlineStr">
        <is>
          <t>Marzo 2024</t>
        </is>
      </c>
    </row>
    <row r="90" ht="18" customHeight="1">
      <c r="A90" s="6" t="inlineStr">
        <is>
          <t>26/03/2024</t>
        </is>
      </c>
      <c r="B90" s="6" t="inlineStr">
        <is>
          <t>13:30</t>
        </is>
      </c>
      <c r="C90" s="7" t="inlineStr">
        <is>
          <t>Capuchino</t>
        </is>
      </c>
      <c r="D90" s="6" t="n">
        <v>1</v>
      </c>
      <c r="E90" s="9" t="n">
        <v>4500</v>
      </c>
      <c r="F90" s="9" t="n">
        <v>4500</v>
      </c>
      <c r="G90" s="6" t="inlineStr">
        <is>
          <t>Marzo 2024</t>
        </is>
      </c>
    </row>
    <row r="91" ht="18" customHeight="1">
      <c r="A91" s="4" t="inlineStr">
        <is>
          <t>27/03/2024</t>
        </is>
      </c>
      <c r="B91" s="4" t="inlineStr">
        <is>
          <t>07:15</t>
        </is>
      </c>
      <c r="C91" s="5" t="inlineStr">
        <is>
          <t>Sándwich</t>
        </is>
      </c>
      <c r="D91" s="4" t="n">
        <v>2</v>
      </c>
      <c r="E91" s="8" t="n">
        <v>6500</v>
      </c>
      <c r="F91" s="8" t="n">
        <v>13000</v>
      </c>
      <c r="G91" s="4" t="inlineStr">
        <is>
          <t>Marzo 2024</t>
        </is>
      </c>
    </row>
    <row r="92" ht="18" customHeight="1">
      <c r="A92" s="6" t="inlineStr">
        <is>
          <t>28/03/2024</t>
        </is>
      </c>
      <c r="B92" s="6" t="inlineStr">
        <is>
          <t>12:00</t>
        </is>
      </c>
      <c r="C92" s="7" t="inlineStr">
        <is>
          <t>Té frío</t>
        </is>
      </c>
      <c r="D92" s="6" t="n">
        <v>3</v>
      </c>
      <c r="E92" s="9" t="n">
        <v>3000</v>
      </c>
      <c r="F92" s="9" t="n">
        <v>9000</v>
      </c>
      <c r="G92" s="6" t="inlineStr">
        <is>
          <t>Marzo 2024</t>
        </is>
      </c>
    </row>
    <row r="93" ht="18" customHeight="1">
      <c r="A93" s="4" t="inlineStr">
        <is>
          <t>29/03/2024</t>
        </is>
      </c>
      <c r="B93" s="4" t="inlineStr">
        <is>
          <t>17:30</t>
        </is>
      </c>
      <c r="C93" s="5" t="inlineStr">
        <is>
          <t>Sándwich</t>
        </is>
      </c>
      <c r="D93" s="4" t="n">
        <v>1</v>
      </c>
      <c r="E93" s="8" t="n">
        <v>6500</v>
      </c>
      <c r="F93" s="8" t="n">
        <v>6500</v>
      </c>
      <c r="G93" s="4" t="inlineStr">
        <is>
          <t>Marzo 2024</t>
        </is>
      </c>
    </row>
    <row r="94" ht="18" customHeight="1">
      <c r="A94" s="6" t="inlineStr">
        <is>
          <t>30/03/2024</t>
        </is>
      </c>
      <c r="B94" s="6" t="inlineStr">
        <is>
          <t>18:00</t>
        </is>
      </c>
      <c r="C94" s="7" t="inlineStr">
        <is>
          <t>Café expreso</t>
        </is>
      </c>
      <c r="D94" s="6" t="n">
        <v>2</v>
      </c>
      <c r="E94" s="9" t="n">
        <v>3500</v>
      </c>
      <c r="F94" s="9" t="n">
        <v>7000</v>
      </c>
      <c r="G94" s="6" t="inlineStr">
        <is>
          <t>Marzo 2024</t>
        </is>
      </c>
    </row>
    <row r="95" ht="18" customHeight="1">
      <c r="A95" s="4" t="inlineStr">
        <is>
          <t>01/03/2024</t>
        </is>
      </c>
      <c r="B95" s="4" t="inlineStr">
        <is>
          <t>09:20</t>
        </is>
      </c>
      <c r="C95" s="5" t="inlineStr">
        <is>
          <t>Sándwich</t>
        </is>
      </c>
      <c r="D95" s="4" t="n">
        <v>2</v>
      </c>
      <c r="E95" s="8" t="n">
        <v>6500</v>
      </c>
      <c r="F95" s="8" t="n">
        <v>13000</v>
      </c>
      <c r="G95" s="4" t="inlineStr">
        <is>
          <t>Marzo 2024</t>
        </is>
      </c>
    </row>
    <row r="96" ht="18" customHeight="1">
      <c r="A96" s="6" t="inlineStr">
        <is>
          <t>02/03/2024</t>
        </is>
      </c>
      <c r="B96" s="6" t="inlineStr">
        <is>
          <t>11:30</t>
        </is>
      </c>
      <c r="C96" s="7" t="inlineStr">
        <is>
          <t>Capuchino</t>
        </is>
      </c>
      <c r="D96" s="6" t="n">
        <v>3</v>
      </c>
      <c r="E96" s="9" t="n">
        <v>4500</v>
      </c>
      <c r="F96" s="9" t="n">
        <v>13500</v>
      </c>
      <c r="G96" s="6" t="inlineStr">
        <is>
          <t>Marzo 2024</t>
        </is>
      </c>
    </row>
    <row r="97" ht="18" customHeight="1">
      <c r="A97" s="4" t="inlineStr">
        <is>
          <t>03/03/2024</t>
        </is>
      </c>
      <c r="B97" s="4" t="inlineStr">
        <is>
          <t>12:15</t>
        </is>
      </c>
      <c r="C97" s="5" t="inlineStr">
        <is>
          <t>Café expreso</t>
        </is>
      </c>
      <c r="D97" s="4" t="n">
        <v>3</v>
      </c>
      <c r="E97" s="8" t="n">
        <v>3500</v>
      </c>
      <c r="F97" s="8" t="n">
        <v>10500</v>
      </c>
      <c r="G97" s="4" t="inlineStr">
        <is>
          <t>Marzo 2024</t>
        </is>
      </c>
    </row>
    <row r="98" ht="18" customHeight="1">
      <c r="A98" s="6" t="inlineStr">
        <is>
          <t>04/03/2024</t>
        </is>
      </c>
      <c r="B98" s="6" t="inlineStr">
        <is>
          <t>08:10</t>
        </is>
      </c>
      <c r="C98" s="7" t="inlineStr">
        <is>
          <t>Té frío</t>
        </is>
      </c>
      <c r="D98" s="6" t="n">
        <v>3</v>
      </c>
      <c r="E98" s="9" t="n">
        <v>3000</v>
      </c>
      <c r="F98" s="9" t="n">
        <v>9000</v>
      </c>
      <c r="G98" s="6" t="inlineStr">
        <is>
          <t>Marzo 2024</t>
        </is>
      </c>
    </row>
    <row r="99" ht="18" customHeight="1">
      <c r="A99" s="4" t="inlineStr">
        <is>
          <t>05/03/2024</t>
        </is>
      </c>
      <c r="B99" s="4" t="inlineStr">
        <is>
          <t>08:55</t>
        </is>
      </c>
      <c r="C99" s="5" t="inlineStr">
        <is>
          <t>Sándwich</t>
        </is>
      </c>
      <c r="D99" s="4" t="n">
        <v>1</v>
      </c>
      <c r="E99" s="8" t="n">
        <v>6500</v>
      </c>
      <c r="F99" s="8" t="n">
        <v>6500</v>
      </c>
      <c r="G99" s="4" t="inlineStr">
        <is>
          <t>Marzo 2024</t>
        </is>
      </c>
    </row>
    <row r="100" ht="18" customHeight="1">
      <c r="A100" s="6" t="inlineStr">
        <is>
          <t>06/03/2024</t>
        </is>
      </c>
      <c r="B100" s="6" t="inlineStr">
        <is>
          <t>13:00</t>
        </is>
      </c>
      <c r="C100" s="7" t="inlineStr">
        <is>
          <t>Café expreso</t>
        </is>
      </c>
      <c r="D100" s="6" t="n">
        <v>2</v>
      </c>
      <c r="E100" s="9" t="n">
        <v>3500</v>
      </c>
      <c r="F100" s="9" t="n">
        <v>7000</v>
      </c>
      <c r="G100" s="6" t="inlineStr">
        <is>
          <t>Marzo 2024</t>
        </is>
      </c>
    </row>
    <row r="101" ht="18" customHeight="1">
      <c r="A101" s="4" t="inlineStr">
        <is>
          <t>07/03/2024</t>
        </is>
      </c>
      <c r="B101" s="4" t="inlineStr">
        <is>
          <t>16:00</t>
        </is>
      </c>
      <c r="C101" s="5" t="inlineStr">
        <is>
          <t>Sándwich</t>
        </is>
      </c>
      <c r="D101" s="4" t="n">
        <v>1</v>
      </c>
      <c r="E101" s="8" t="n">
        <v>6500</v>
      </c>
      <c r="F101" s="8" t="n">
        <v>6500</v>
      </c>
      <c r="G101" s="4" t="inlineStr">
        <is>
          <t>Marzo 2024</t>
        </is>
      </c>
    </row>
    <row r="102" ht="18" customHeight="1">
      <c r="A102" s="6" t="inlineStr">
        <is>
          <t>08/03/2024</t>
        </is>
      </c>
      <c r="B102" s="6" t="inlineStr">
        <is>
          <t>17:30</t>
        </is>
      </c>
      <c r="C102" s="7" t="inlineStr">
        <is>
          <t>Sándwich</t>
        </is>
      </c>
      <c r="D102" s="6" t="n">
        <v>2</v>
      </c>
      <c r="E102" s="9" t="n">
        <v>6500</v>
      </c>
      <c r="F102" s="9" t="n">
        <v>13000</v>
      </c>
      <c r="G102" s="6" t="inlineStr">
        <is>
          <t>Marzo 2024</t>
        </is>
      </c>
    </row>
    <row r="103" ht="18" customHeight="1">
      <c r="A103" s="4" t="inlineStr">
        <is>
          <t>09/03/2024</t>
        </is>
      </c>
      <c r="B103" s="4" t="inlineStr">
        <is>
          <t>14:30</t>
        </is>
      </c>
      <c r="C103" s="5" t="inlineStr">
        <is>
          <t>Torta de chocolate</t>
        </is>
      </c>
      <c r="D103" s="4" t="n">
        <v>1</v>
      </c>
      <c r="E103" s="8" t="n">
        <v>5500</v>
      </c>
      <c r="F103" s="8" t="n">
        <v>5500</v>
      </c>
      <c r="G103" s="4" t="inlineStr">
        <is>
          <t>Marzo 2024</t>
        </is>
      </c>
    </row>
    <row r="104" ht="18" customHeight="1">
      <c r="A104" s="6" t="inlineStr">
        <is>
          <t>10/03/2024</t>
        </is>
      </c>
      <c r="B104" s="6" t="inlineStr">
        <is>
          <t>07:15</t>
        </is>
      </c>
      <c r="C104" s="7" t="inlineStr">
        <is>
          <t>Té frío</t>
        </is>
      </c>
      <c r="D104" s="6" t="n">
        <v>1</v>
      </c>
      <c r="E104" s="9" t="n">
        <v>3000</v>
      </c>
      <c r="F104" s="9" t="n">
        <v>3000</v>
      </c>
      <c r="G104" s="6" t="inlineStr">
        <is>
          <t>Marzo 2024</t>
        </is>
      </c>
    </row>
    <row r="105" ht="18" customHeight="1">
      <c r="A105" s="4" t="inlineStr">
        <is>
          <t>11/03/2024</t>
        </is>
      </c>
      <c r="B105" s="4" t="inlineStr">
        <is>
          <t>17:00</t>
        </is>
      </c>
      <c r="C105" s="5" t="inlineStr">
        <is>
          <t>Sándwich</t>
        </is>
      </c>
      <c r="D105" s="4" t="n">
        <v>3</v>
      </c>
      <c r="E105" s="8" t="n">
        <v>6500</v>
      </c>
      <c r="F105" s="8" t="n">
        <v>19500</v>
      </c>
      <c r="G105" s="4" t="inlineStr">
        <is>
          <t>Marzo 2024</t>
        </is>
      </c>
    </row>
    <row r="106" ht="18" customHeight="1">
      <c r="A106" s="6" t="inlineStr">
        <is>
          <t>12/03/2024</t>
        </is>
      </c>
      <c r="B106" s="6" t="inlineStr">
        <is>
          <t>08:55</t>
        </is>
      </c>
      <c r="C106" s="7" t="inlineStr">
        <is>
          <t>Café expreso</t>
        </is>
      </c>
      <c r="D106" s="6" t="n">
        <v>3</v>
      </c>
      <c r="E106" s="9" t="n">
        <v>3500</v>
      </c>
      <c r="F106" s="9" t="n">
        <v>10500</v>
      </c>
      <c r="G106" s="6" t="inlineStr">
        <is>
          <t>Marzo 2024</t>
        </is>
      </c>
    </row>
    <row r="107" ht="18" customHeight="1">
      <c r="A107" s="4" t="inlineStr">
        <is>
          <t>13/03/2024</t>
        </is>
      </c>
      <c r="B107" s="4" t="inlineStr">
        <is>
          <t>09:45</t>
        </is>
      </c>
      <c r="C107" s="5" t="inlineStr">
        <is>
          <t>Capuchino</t>
        </is>
      </c>
      <c r="D107" s="4" t="n">
        <v>1</v>
      </c>
      <c r="E107" s="8" t="n">
        <v>4500</v>
      </c>
      <c r="F107" s="8" t="n">
        <v>4500</v>
      </c>
      <c r="G107" s="4" t="inlineStr">
        <is>
          <t>Marzo 2024</t>
        </is>
      </c>
    </row>
    <row r="108" ht="18" customHeight="1">
      <c r="A108" s="6" t="inlineStr">
        <is>
          <t>14/03/2024</t>
        </is>
      </c>
      <c r="B108" s="6" t="inlineStr">
        <is>
          <t>11:00</t>
        </is>
      </c>
      <c r="C108" s="7" t="inlineStr">
        <is>
          <t>Café expreso</t>
        </is>
      </c>
      <c r="D108" s="6" t="n">
        <v>1</v>
      </c>
      <c r="E108" s="9" t="n">
        <v>3500</v>
      </c>
      <c r="F108" s="9" t="n">
        <v>3500</v>
      </c>
      <c r="G108" s="6" t="inlineStr">
        <is>
          <t>Marzo 2024</t>
        </is>
      </c>
    </row>
    <row r="109" ht="18" customHeight="1">
      <c r="A109" s="4" t="inlineStr">
        <is>
          <t>15/03/2024</t>
        </is>
      </c>
      <c r="B109" s="4" t="inlineStr">
        <is>
          <t>11:30</t>
        </is>
      </c>
      <c r="C109" s="5" t="inlineStr">
        <is>
          <t>Té frío</t>
        </is>
      </c>
      <c r="D109" s="4" t="n">
        <v>2</v>
      </c>
      <c r="E109" s="8" t="n">
        <v>3000</v>
      </c>
      <c r="F109" s="8" t="n">
        <v>6000</v>
      </c>
      <c r="G109" s="4" t="inlineStr">
        <is>
          <t>Marzo 2024</t>
        </is>
      </c>
    </row>
    <row r="110" ht="18" customHeight="1">
      <c r="A110" s="6" t="inlineStr">
        <is>
          <t>16/03/2024</t>
        </is>
      </c>
      <c r="B110" s="6" t="inlineStr">
        <is>
          <t>08:55</t>
        </is>
      </c>
      <c r="C110" s="7" t="inlineStr">
        <is>
          <t>Capuchino</t>
        </is>
      </c>
      <c r="D110" s="6" t="n">
        <v>2</v>
      </c>
      <c r="E110" s="9" t="n">
        <v>4500</v>
      </c>
      <c r="F110" s="9" t="n">
        <v>9000</v>
      </c>
      <c r="G110" s="6" t="inlineStr">
        <is>
          <t>Marzo 2024</t>
        </is>
      </c>
    </row>
    <row r="111" ht="18" customHeight="1">
      <c r="A111" s="4" t="inlineStr">
        <is>
          <t>17/03/2024</t>
        </is>
      </c>
      <c r="B111" s="4" t="inlineStr">
        <is>
          <t>12:00</t>
        </is>
      </c>
      <c r="C111" s="5" t="inlineStr">
        <is>
          <t>Café expreso</t>
        </is>
      </c>
      <c r="D111" s="4" t="n">
        <v>3</v>
      </c>
      <c r="E111" s="8" t="n">
        <v>3500</v>
      </c>
      <c r="F111" s="8" t="n">
        <v>10500</v>
      </c>
      <c r="G111" s="4" t="inlineStr">
        <is>
          <t>Marzo 2024</t>
        </is>
      </c>
    </row>
    <row r="112" ht="18" customHeight="1">
      <c r="A112" s="6" t="inlineStr">
        <is>
          <t>18/03/2024</t>
        </is>
      </c>
      <c r="B112" s="6" t="inlineStr">
        <is>
          <t>15:00</t>
        </is>
      </c>
      <c r="C112" s="7" t="inlineStr">
        <is>
          <t>Torta de chocolate</t>
        </is>
      </c>
      <c r="D112" s="6" t="n">
        <v>3</v>
      </c>
      <c r="E112" s="9" t="n">
        <v>5500</v>
      </c>
      <c r="F112" s="9" t="n">
        <v>16500</v>
      </c>
      <c r="G112" s="6" t="inlineStr">
        <is>
          <t>Marzo 2024</t>
        </is>
      </c>
    </row>
    <row r="113" ht="18" customHeight="1">
      <c r="A113" s="4" t="inlineStr">
        <is>
          <t>19/03/2024</t>
        </is>
      </c>
      <c r="B113" s="4" t="inlineStr">
        <is>
          <t>12:45</t>
        </is>
      </c>
      <c r="C113" s="5" t="inlineStr">
        <is>
          <t>Sándwich</t>
        </is>
      </c>
      <c r="D113" s="4" t="n">
        <v>2</v>
      </c>
      <c r="E113" s="8" t="n">
        <v>6500</v>
      </c>
      <c r="F113" s="8" t="n">
        <v>13000</v>
      </c>
      <c r="G113" s="4" t="inlineStr">
        <is>
          <t>Marzo 2024</t>
        </is>
      </c>
    </row>
    <row r="114" ht="18" customHeight="1">
      <c r="A114" s="6" t="inlineStr">
        <is>
          <t>20/03/2024</t>
        </is>
      </c>
      <c r="B114" s="6" t="inlineStr">
        <is>
          <t>08:55</t>
        </is>
      </c>
      <c r="C114" s="7" t="inlineStr">
        <is>
          <t>Sándwich</t>
        </is>
      </c>
      <c r="D114" s="6" t="n">
        <v>2</v>
      </c>
      <c r="E114" s="9" t="n">
        <v>6500</v>
      </c>
      <c r="F114" s="9" t="n">
        <v>13000</v>
      </c>
      <c r="G114" s="6" t="inlineStr">
        <is>
          <t>Marzo 2024</t>
        </is>
      </c>
    </row>
    <row r="115" ht="18" customHeight="1">
      <c r="A115" s="4" t="inlineStr">
        <is>
          <t>21/03/2024</t>
        </is>
      </c>
      <c r="B115" s="4" t="inlineStr">
        <is>
          <t>14:00</t>
        </is>
      </c>
      <c r="C115" s="5" t="inlineStr">
        <is>
          <t>Té frío</t>
        </is>
      </c>
      <c r="D115" s="4" t="n">
        <v>2</v>
      </c>
      <c r="E115" s="8" t="n">
        <v>3000</v>
      </c>
      <c r="F115" s="8" t="n">
        <v>6000</v>
      </c>
      <c r="G115" s="4" t="inlineStr">
        <is>
          <t>Marzo 2024</t>
        </is>
      </c>
    </row>
    <row r="116" ht="18" customHeight="1">
      <c r="A116" s="6" t="inlineStr">
        <is>
          <t>22/03/2024</t>
        </is>
      </c>
      <c r="B116" s="6" t="inlineStr">
        <is>
          <t>09:20</t>
        </is>
      </c>
      <c r="C116" s="7" t="inlineStr">
        <is>
          <t>Café expreso</t>
        </is>
      </c>
      <c r="D116" s="6" t="n">
        <v>2</v>
      </c>
      <c r="E116" s="9" t="n">
        <v>3500</v>
      </c>
      <c r="F116" s="9" t="n">
        <v>7000</v>
      </c>
      <c r="G116" s="6" t="inlineStr">
        <is>
          <t>Marzo 2024</t>
        </is>
      </c>
    </row>
    <row r="117" ht="18" customHeight="1">
      <c r="A117" s="4" t="inlineStr">
        <is>
          <t>23/03/2024</t>
        </is>
      </c>
      <c r="B117" s="4" t="inlineStr">
        <is>
          <t>09:20</t>
        </is>
      </c>
      <c r="C117" s="5" t="inlineStr">
        <is>
          <t>Sándwich</t>
        </is>
      </c>
      <c r="D117" s="4" t="n">
        <v>1</v>
      </c>
      <c r="E117" s="8" t="n">
        <v>6500</v>
      </c>
      <c r="F117" s="8" t="n">
        <v>6500</v>
      </c>
      <c r="G117" s="4" t="inlineStr">
        <is>
          <t>Marzo 2024</t>
        </is>
      </c>
    </row>
    <row r="118" ht="18" customHeight="1">
      <c r="A118" s="6" t="inlineStr">
        <is>
          <t>24/03/2024</t>
        </is>
      </c>
      <c r="B118" s="6" t="inlineStr">
        <is>
          <t>18:30</t>
        </is>
      </c>
      <c r="C118" s="7" t="inlineStr">
        <is>
          <t>Café expreso</t>
        </is>
      </c>
      <c r="D118" s="6" t="n">
        <v>2</v>
      </c>
      <c r="E118" s="9" t="n">
        <v>3500</v>
      </c>
      <c r="F118" s="9" t="n">
        <v>7000</v>
      </c>
      <c r="G118" s="6" t="inlineStr">
        <is>
          <t>Marzo 2024</t>
        </is>
      </c>
    </row>
    <row r="119" ht="18" customHeight="1">
      <c r="A119" s="4" t="inlineStr">
        <is>
          <t>25/03/2024</t>
        </is>
      </c>
      <c r="B119" s="4" t="inlineStr">
        <is>
          <t>11:30</t>
        </is>
      </c>
      <c r="C119" s="5" t="inlineStr">
        <is>
          <t>Café expreso</t>
        </is>
      </c>
      <c r="D119" s="4" t="n">
        <v>1</v>
      </c>
      <c r="E119" s="8" t="n">
        <v>3500</v>
      </c>
      <c r="F119" s="8" t="n">
        <v>3500</v>
      </c>
      <c r="G119" s="4" t="inlineStr">
        <is>
          <t>Marzo 2024</t>
        </is>
      </c>
    </row>
    <row r="120" ht="18" customHeight="1">
      <c r="A120" s="6" t="inlineStr">
        <is>
          <t>26/03/2024</t>
        </is>
      </c>
      <c r="B120" s="6" t="inlineStr">
        <is>
          <t>14:30</t>
        </is>
      </c>
      <c r="C120" s="7" t="inlineStr">
        <is>
          <t>Sándwich</t>
        </is>
      </c>
      <c r="D120" s="6" t="n">
        <v>2</v>
      </c>
      <c r="E120" s="9" t="n">
        <v>6500</v>
      </c>
      <c r="F120" s="9" t="n">
        <v>13000</v>
      </c>
      <c r="G120" s="6" t="inlineStr">
        <is>
          <t>Marzo 2024</t>
        </is>
      </c>
    </row>
    <row r="121" ht="18" customHeight="1">
      <c r="A121" s="4" t="inlineStr">
        <is>
          <t>27/03/2024</t>
        </is>
      </c>
      <c r="B121" s="4" t="inlineStr">
        <is>
          <t>14:30</t>
        </is>
      </c>
      <c r="C121" s="5" t="inlineStr">
        <is>
          <t>Té frío</t>
        </is>
      </c>
      <c r="D121" s="4" t="n">
        <v>1</v>
      </c>
      <c r="E121" s="8" t="n">
        <v>3000</v>
      </c>
      <c r="F121" s="8" t="n">
        <v>3000</v>
      </c>
      <c r="G121" s="4" t="inlineStr">
        <is>
          <t>Marzo 2024</t>
        </is>
      </c>
    </row>
    <row r="122" ht="18" customHeight="1">
      <c r="A122" s="6" t="inlineStr">
        <is>
          <t>28/03/2024</t>
        </is>
      </c>
      <c r="B122" s="6" t="inlineStr">
        <is>
          <t>10:30</t>
        </is>
      </c>
      <c r="C122" s="7" t="inlineStr">
        <is>
          <t>Café expreso</t>
        </is>
      </c>
      <c r="D122" s="6" t="n">
        <v>1</v>
      </c>
      <c r="E122" s="9" t="n">
        <v>3500</v>
      </c>
      <c r="F122" s="9" t="n">
        <v>3500</v>
      </c>
      <c r="G122" s="6" t="inlineStr">
        <is>
          <t>Marzo 2024</t>
        </is>
      </c>
    </row>
    <row r="123" ht="18" customHeight="1">
      <c r="A123" s="4" t="inlineStr">
        <is>
          <t>29/03/2024</t>
        </is>
      </c>
      <c r="B123" s="4" t="inlineStr">
        <is>
          <t>14:00</t>
        </is>
      </c>
      <c r="C123" s="5" t="inlineStr">
        <is>
          <t>Café expreso</t>
        </is>
      </c>
      <c r="D123" s="4" t="n">
        <v>1</v>
      </c>
      <c r="E123" s="8" t="n">
        <v>3500</v>
      </c>
      <c r="F123" s="8" t="n">
        <v>3500</v>
      </c>
      <c r="G123" s="4" t="inlineStr">
        <is>
          <t>Marzo 2024</t>
        </is>
      </c>
    </row>
    <row r="124" ht="18" customHeight="1">
      <c r="A124" s="6" t="inlineStr">
        <is>
          <t>30/03/2024</t>
        </is>
      </c>
      <c r="B124" s="6" t="inlineStr">
        <is>
          <t>08:10</t>
        </is>
      </c>
      <c r="C124" s="7" t="inlineStr">
        <is>
          <t>Capuchino</t>
        </is>
      </c>
      <c r="D124" s="6" t="n">
        <v>1</v>
      </c>
      <c r="E124" s="9" t="n">
        <v>4500</v>
      </c>
      <c r="F124" s="9" t="n">
        <v>4500</v>
      </c>
      <c r="G124" s="6" t="inlineStr">
        <is>
          <t>Marzo 2024</t>
        </is>
      </c>
    </row>
    <row r="125">
      <c r="A125" s="10" t="inlineStr">
        <is>
          <t>TOTAL</t>
        </is>
      </c>
      <c r="D125" s="10">
        <f>SUM(D5:D124)</f>
        <v/>
      </c>
      <c r="F125" s="11">
        <f>SUM(F5:F124)</f>
        <v/>
      </c>
    </row>
  </sheetData>
  <mergeCells count="3">
    <mergeCell ref="A2:G2"/>
    <mergeCell ref="A125:C12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  <col width="18" customWidth="1" min="5" max="5"/>
    <col width="16" customWidth="1" min="6" max="6"/>
  </cols>
  <sheetData>
    <row r="1" ht="32" customHeight="1">
      <c r="A1" s="1" t="inlineStr">
        <is>
          <t>☕  CaféDigital — Reporte de Compras a Proveedores (ERP)</t>
        </is>
      </c>
    </row>
    <row r="2" ht="18" customHeight="1">
      <c r="A2" s="2" t="inlineStr">
        <is>
          <t>Módulo 3 · Fuente: Exportación de sistema ERP del proveedor</t>
        </is>
      </c>
    </row>
    <row r="3" ht="8" customHeight="1"/>
    <row r="4" ht="22" customHeight="1">
      <c r="A4" s="3" t="inlineStr">
        <is>
          <t>Fecha_Compra</t>
        </is>
      </c>
      <c r="B4" s="3" t="inlineStr">
        <is>
          <t>Ingrediente</t>
        </is>
      </c>
      <c r="C4" s="3" t="inlineStr">
        <is>
          <t>Proveedor</t>
        </is>
      </c>
      <c r="D4" s="3" t="inlineStr">
        <is>
          <t>Cantidad_kg</t>
        </is>
      </c>
      <c r="E4" s="3" t="inlineStr">
        <is>
          <t>Costo_Total_COP</t>
        </is>
      </c>
      <c r="F4" s="3" t="inlineStr">
        <is>
          <t>Mes</t>
        </is>
      </c>
    </row>
    <row r="5" ht="18" customHeight="1">
      <c r="A5" s="4" t="inlineStr">
        <is>
          <t>05/03/2024</t>
        </is>
      </c>
      <c r="B5" s="5" t="inlineStr">
        <is>
          <t>Café en grano</t>
        </is>
      </c>
      <c r="C5" s="5" t="inlineStr">
        <is>
          <t>Distribuidora La Cosecha</t>
        </is>
      </c>
      <c r="D5" s="4" t="n">
        <v>5</v>
      </c>
      <c r="E5" s="8" t="n">
        <v>75000</v>
      </c>
      <c r="F5" s="4" t="inlineStr">
        <is>
          <t>Marzo 2024</t>
        </is>
      </c>
    </row>
    <row r="6" ht="18" customHeight="1">
      <c r="A6" s="6" t="inlineStr">
        <is>
          <t>04/03/2024</t>
        </is>
      </c>
      <c r="B6" s="7" t="inlineStr">
        <is>
          <t>Leche entera</t>
        </is>
      </c>
      <c r="C6" s="7" t="inlineStr">
        <is>
          <t>Lácteos del Norte</t>
        </is>
      </c>
      <c r="D6" s="6" t="n">
        <v>20</v>
      </c>
      <c r="E6" s="9" t="n">
        <v>48000</v>
      </c>
      <c r="F6" s="6" t="inlineStr">
        <is>
          <t>Marzo 2024</t>
        </is>
      </c>
    </row>
    <row r="7" ht="18" customHeight="1">
      <c r="A7" s="4" t="inlineStr">
        <is>
          <t>06/03/2024</t>
        </is>
      </c>
      <c r="B7" s="5" t="inlineStr">
        <is>
          <t>Té verde surtido</t>
        </is>
      </c>
      <c r="C7" s="5" t="inlineStr">
        <is>
          <t>Importadora Oriente</t>
        </is>
      </c>
      <c r="D7" s="4" t="n">
        <v>3</v>
      </c>
      <c r="E7" s="8" t="n">
        <v>36000</v>
      </c>
      <c r="F7" s="4" t="inlineStr">
        <is>
          <t>Marzo 2024</t>
        </is>
      </c>
    </row>
    <row r="8" ht="18" customHeight="1">
      <c r="A8" s="6" t="inlineStr">
        <is>
          <t>06/03/2024</t>
        </is>
      </c>
      <c r="B8" s="7" t="inlineStr">
        <is>
          <t>Pan artesanal</t>
        </is>
      </c>
      <c r="C8" s="7" t="inlineStr">
        <is>
          <t>Panadería San Luis</t>
        </is>
      </c>
      <c r="D8" s="6" t="n">
        <v>10</v>
      </c>
      <c r="E8" s="9" t="n">
        <v>45000</v>
      </c>
      <c r="F8" s="6" t="inlineStr">
        <is>
          <t>Marzo 2024</t>
        </is>
      </c>
    </row>
    <row r="9" ht="18" customHeight="1">
      <c r="A9" s="4" t="inlineStr">
        <is>
          <t>06/03/2024</t>
        </is>
      </c>
      <c r="B9" s="5" t="inlineStr">
        <is>
          <t>Harina de trigo</t>
        </is>
      </c>
      <c r="C9" s="5" t="inlineStr">
        <is>
          <t>Molinos Bogotá</t>
        </is>
      </c>
      <c r="D9" s="4" t="n">
        <v>8</v>
      </c>
      <c r="E9" s="8" t="n">
        <v>24000</v>
      </c>
      <c r="F9" s="4" t="inlineStr">
        <is>
          <t>Marzo 2024</t>
        </is>
      </c>
    </row>
    <row r="10" ht="18" customHeight="1">
      <c r="A10" s="6" t="inlineStr">
        <is>
          <t>06/03/2024</t>
        </is>
      </c>
      <c r="B10" s="7" t="inlineStr">
        <is>
          <t>Azúcar</t>
        </is>
      </c>
      <c r="C10" s="7" t="inlineStr">
        <is>
          <t>Refinería Central</t>
        </is>
      </c>
      <c r="D10" s="6" t="n">
        <v>10</v>
      </c>
      <c r="E10" s="9" t="n">
        <v>35000</v>
      </c>
      <c r="F10" s="6" t="inlineStr">
        <is>
          <t>Marzo 2024</t>
        </is>
      </c>
    </row>
    <row r="11" ht="18" customHeight="1">
      <c r="A11" s="4" t="inlineStr">
        <is>
          <t>03/03/2024</t>
        </is>
      </c>
      <c r="B11" s="5" t="inlineStr">
        <is>
          <t>Chocolate cobertura</t>
        </is>
      </c>
      <c r="C11" s="5" t="inlineStr">
        <is>
          <t>Chocolates Andinos</t>
        </is>
      </c>
      <c r="D11" s="4" t="n">
        <v>4</v>
      </c>
      <c r="E11" s="8" t="n">
        <v>68000</v>
      </c>
      <c r="F11" s="4" t="inlineStr">
        <is>
          <t>Marzo 2024</t>
        </is>
      </c>
    </row>
    <row r="12" ht="18" customHeight="1">
      <c r="A12" s="6" t="inlineStr">
        <is>
          <t>04/03/2024</t>
        </is>
      </c>
      <c r="B12" s="7" t="inlineStr">
        <is>
          <t>Crema de leche</t>
        </is>
      </c>
      <c r="C12" s="7" t="inlineStr">
        <is>
          <t>Lácteos del Norte</t>
        </is>
      </c>
      <c r="D12" s="6" t="n">
        <v>6</v>
      </c>
      <c r="E12" s="9" t="n">
        <v>42000</v>
      </c>
      <c r="F12" s="6" t="inlineStr">
        <is>
          <t>Marzo 2024</t>
        </is>
      </c>
    </row>
    <row r="13" ht="18" customHeight="1">
      <c r="A13" s="4" t="inlineStr">
        <is>
          <t>05/04/2024</t>
        </is>
      </c>
      <c r="B13" s="5" t="inlineStr">
        <is>
          <t>Café en grano</t>
        </is>
      </c>
      <c r="C13" s="5" t="inlineStr">
        <is>
          <t>Distribuidora La Cosecha</t>
        </is>
      </c>
      <c r="D13" s="4" t="n">
        <v>5</v>
      </c>
      <c r="E13" s="8" t="n">
        <v>75000</v>
      </c>
      <c r="F13" s="4" t="inlineStr">
        <is>
          <t>Abril 2024</t>
        </is>
      </c>
    </row>
    <row r="14" ht="18" customHeight="1">
      <c r="A14" s="6" t="inlineStr">
        <is>
          <t>06/04/2024</t>
        </is>
      </c>
      <c r="B14" s="7" t="inlineStr">
        <is>
          <t>Leche entera</t>
        </is>
      </c>
      <c r="C14" s="7" t="inlineStr">
        <is>
          <t>Lácteos del Norte</t>
        </is>
      </c>
      <c r="D14" s="6" t="n">
        <v>20</v>
      </c>
      <c r="E14" s="9" t="n">
        <v>48000</v>
      </c>
      <c r="F14" s="6" t="inlineStr">
        <is>
          <t>Abril 2024</t>
        </is>
      </c>
    </row>
    <row r="15" ht="18" customHeight="1">
      <c r="A15" s="4" t="inlineStr">
        <is>
          <t>06/04/2024</t>
        </is>
      </c>
      <c r="B15" s="5" t="inlineStr">
        <is>
          <t>Té verde surtido</t>
        </is>
      </c>
      <c r="C15" s="5" t="inlineStr">
        <is>
          <t>Importadora Oriente</t>
        </is>
      </c>
      <c r="D15" s="4" t="n">
        <v>3</v>
      </c>
      <c r="E15" s="8" t="n">
        <v>36000</v>
      </c>
      <c r="F15" s="4" t="inlineStr">
        <is>
          <t>Abril 2024</t>
        </is>
      </c>
    </row>
    <row r="16" ht="18" customHeight="1">
      <c r="A16" s="6" t="inlineStr">
        <is>
          <t>05/04/2024</t>
        </is>
      </c>
      <c r="B16" s="7" t="inlineStr">
        <is>
          <t>Pan artesanal</t>
        </is>
      </c>
      <c r="C16" s="7" t="inlineStr">
        <is>
          <t>Panadería San Luis</t>
        </is>
      </c>
      <c r="D16" s="6" t="n">
        <v>10</v>
      </c>
      <c r="E16" s="9" t="n">
        <v>45000</v>
      </c>
      <c r="F16" s="6" t="inlineStr">
        <is>
          <t>Abril 2024</t>
        </is>
      </c>
    </row>
    <row r="17" ht="18" customHeight="1">
      <c r="A17" s="4" t="inlineStr">
        <is>
          <t>06/04/2024</t>
        </is>
      </c>
      <c r="B17" s="5" t="inlineStr">
        <is>
          <t>Harina de trigo</t>
        </is>
      </c>
      <c r="C17" s="5" t="inlineStr">
        <is>
          <t>Molinos Bogotá</t>
        </is>
      </c>
      <c r="D17" s="4" t="n">
        <v>8</v>
      </c>
      <c r="E17" s="8" t="n">
        <v>24000</v>
      </c>
      <c r="F17" s="4" t="inlineStr">
        <is>
          <t>Abril 2024</t>
        </is>
      </c>
    </row>
    <row r="18" ht="18" customHeight="1">
      <c r="A18" s="6" t="inlineStr">
        <is>
          <t>03/04/2024</t>
        </is>
      </c>
      <c r="B18" s="7" t="inlineStr">
        <is>
          <t>Azúcar</t>
        </is>
      </c>
      <c r="C18" s="7" t="inlineStr">
        <is>
          <t>Refinería Central</t>
        </is>
      </c>
      <c r="D18" s="6" t="n">
        <v>10</v>
      </c>
      <c r="E18" s="9" t="n">
        <v>35000</v>
      </c>
      <c r="F18" s="6" t="inlineStr">
        <is>
          <t>Abril 2024</t>
        </is>
      </c>
    </row>
    <row r="19" ht="18" customHeight="1">
      <c r="A19" s="4" t="inlineStr">
        <is>
          <t>06/04/2024</t>
        </is>
      </c>
      <c r="B19" s="5" t="inlineStr">
        <is>
          <t>Chocolate cobertura</t>
        </is>
      </c>
      <c r="C19" s="5" t="inlineStr">
        <is>
          <t>Chocolates Andinos</t>
        </is>
      </c>
      <c r="D19" s="4" t="n">
        <v>4</v>
      </c>
      <c r="E19" s="8" t="n">
        <v>68000</v>
      </c>
      <c r="F19" s="4" t="inlineStr">
        <is>
          <t>Abril 2024</t>
        </is>
      </c>
    </row>
    <row r="20" ht="18" customHeight="1">
      <c r="A20" s="6" t="inlineStr">
        <is>
          <t>04/04/2024</t>
        </is>
      </c>
      <c r="B20" s="7" t="inlineStr">
        <is>
          <t>Crema de leche</t>
        </is>
      </c>
      <c r="C20" s="7" t="inlineStr">
        <is>
          <t>Lácteos del Norte</t>
        </is>
      </c>
      <c r="D20" s="6" t="n">
        <v>6</v>
      </c>
      <c r="E20" s="9" t="n">
        <v>42000</v>
      </c>
      <c r="F20" s="6" t="inlineStr">
        <is>
          <t>Abril 2024</t>
        </is>
      </c>
    </row>
    <row r="21">
      <c r="A21" s="12" t="inlineStr">
        <is>
          <t>TOTAL COMPRAS</t>
        </is>
      </c>
      <c r="E21" s="13">
        <f>SUM(E5:E20)</f>
        <v/>
      </c>
    </row>
  </sheetData>
  <mergeCells count="3">
    <mergeCell ref="A2:F2"/>
    <mergeCell ref="A1:F1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5" max="5"/>
    <col width="20" customWidth="1" min="6" max="6"/>
    <col width="18" customWidth="1" min="7" max="7"/>
  </cols>
  <sheetData>
    <row r="1" ht="32" customHeight="1">
      <c r="A1" s="1" t="inlineStr">
        <is>
          <t>☕  CaféDigital — Hoja de Análisis</t>
        </is>
      </c>
    </row>
    <row r="2" ht="18" customHeight="1">
      <c r="A2" s="2" t="inlineStr">
        <is>
          <t>Módulo 4 · Tablas resumen calculadas desde las hojas de datos</t>
        </is>
      </c>
    </row>
    <row r="4" ht="24" customHeight="1">
      <c r="A4" s="14" t="inlineStr">
        <is>
          <t>📊  Ventas por Producto</t>
        </is>
      </c>
      <c r="E4" s="15" t="inlineStr">
        <is>
          <t>⭐  Satisfacción Promedio por Producto</t>
        </is>
      </c>
    </row>
    <row r="5">
      <c r="A5" s="16" t="inlineStr">
        <is>
          <t>Producto</t>
        </is>
      </c>
      <c r="B5" s="16" t="inlineStr">
        <is>
          <t>Unidades Vendidas</t>
        </is>
      </c>
      <c r="C5" s="16" t="inlineStr">
        <is>
          <t>Ingresos (COP)</t>
        </is>
      </c>
      <c r="E5" s="17" t="inlineStr">
        <is>
          <t>Producto</t>
        </is>
      </c>
      <c r="F5" s="17" t="inlineStr">
        <is>
          <t>Calif. Promedio</t>
        </is>
      </c>
      <c r="G5" s="17" t="inlineStr">
        <is>
          <t>¿Regresan? %</t>
        </is>
      </c>
    </row>
    <row r="6" ht="18" customHeight="1">
      <c r="A6" s="5" t="inlineStr">
        <is>
          <t>Café expreso</t>
        </is>
      </c>
      <c r="B6" s="4">
        <f>SUMIF(Ventas!C:C,A6,Ventas!D:D)</f>
        <v/>
      </c>
      <c r="C6" s="8">
        <f>SUMIF(Ventas!C:C,A6,Ventas!F:F)</f>
        <v/>
      </c>
      <c r="E6" s="5" t="inlineStr">
        <is>
          <t>Café expreso</t>
        </is>
      </c>
      <c r="F6" s="18">
        <f>AVERAGEIF(Satisfaccion!C:C,E6,Satisfaccion!D:D)</f>
        <v/>
      </c>
      <c r="G6" s="19" t="n">
        <v>87</v>
      </c>
    </row>
    <row r="7" ht="18" customHeight="1">
      <c r="A7" s="7" t="inlineStr">
        <is>
          <t>Capuchino</t>
        </is>
      </c>
      <c r="B7" s="6">
        <f>SUMIF(Ventas!C:C,A7,Ventas!D:D)</f>
        <v/>
      </c>
      <c r="C7" s="9">
        <f>SUMIF(Ventas!C:C,A7,Ventas!F:F)</f>
        <v/>
      </c>
      <c r="E7" s="20" t="inlineStr">
        <is>
          <t>Capuchino</t>
        </is>
      </c>
      <c r="F7" s="21">
        <f>AVERAGEIF(Satisfaccion!C:C,E7,Satisfaccion!D:D)</f>
        <v/>
      </c>
      <c r="G7" s="22" t="n">
        <v>84</v>
      </c>
    </row>
    <row r="8" ht="18" customHeight="1">
      <c r="A8" s="5" t="inlineStr">
        <is>
          <t>Té frío</t>
        </is>
      </c>
      <c r="B8" s="4">
        <f>SUMIF(Ventas!C:C,A8,Ventas!D:D)</f>
        <v/>
      </c>
      <c r="C8" s="8">
        <f>SUMIF(Ventas!C:C,A8,Ventas!F:F)</f>
        <v/>
      </c>
      <c r="E8" s="5" t="inlineStr">
        <is>
          <t>Té frío</t>
        </is>
      </c>
      <c r="F8" s="18">
        <f>AVERAGEIF(Satisfaccion!C:C,E8,Satisfaccion!D:D)</f>
        <v/>
      </c>
      <c r="G8" s="19" t="n">
        <v>81</v>
      </c>
    </row>
    <row r="9" ht="18" customHeight="1">
      <c r="A9" s="7" t="inlineStr">
        <is>
          <t>Sándwich</t>
        </is>
      </c>
      <c r="B9" s="6">
        <f>SUMIF(Ventas!C:C,A9,Ventas!D:D)</f>
        <v/>
      </c>
      <c r="C9" s="9">
        <f>SUMIF(Ventas!C:C,A9,Ventas!F:F)</f>
        <v/>
      </c>
      <c r="E9" s="20" t="inlineStr">
        <is>
          <t>Sándwich</t>
        </is>
      </c>
      <c r="F9" s="21">
        <f>AVERAGEIF(Satisfaccion!C:C,E9,Satisfaccion!D:D)</f>
        <v/>
      </c>
      <c r="G9" s="22" t="n">
        <v>78</v>
      </c>
    </row>
    <row r="10" ht="18" customHeight="1">
      <c r="A10" s="5" t="inlineStr">
        <is>
          <t>Torta de chocolate</t>
        </is>
      </c>
      <c r="B10" s="4">
        <f>SUMIF(Ventas!C:C,A10,Ventas!D:D)</f>
        <v/>
      </c>
      <c r="C10" s="8">
        <f>SUMIF(Ventas!C:C,A10,Ventas!F:F)</f>
        <v/>
      </c>
      <c r="E10" s="5" t="inlineStr">
        <is>
          <t>Torta de chocolate</t>
        </is>
      </c>
      <c r="F10" s="18">
        <f>AVERAGEIF(Satisfaccion!C:C,E10,Satisfaccion!D:D)</f>
        <v/>
      </c>
      <c r="G10" s="19" t="n">
        <v>75</v>
      </c>
    </row>
    <row r="11">
      <c r="A11" s="10" t="inlineStr">
        <is>
          <t>TOTAL</t>
        </is>
      </c>
      <c r="B11" s="10">
        <f>SUM(B6:B10)</f>
        <v/>
      </c>
      <c r="C11" s="11">
        <f>SUM(C6:C10)</f>
        <v/>
      </c>
    </row>
    <row r="13">
      <c r="A13" s="23" t="inlineStr">
        <is>
          <t>💰  Ingresos vs. Costos por Mes</t>
        </is>
      </c>
      <c r="E13" s="14" t="inlineStr">
        <is>
          <t>🕐  Ventas por Franja Horaria</t>
        </is>
      </c>
    </row>
    <row r="14">
      <c r="A14" s="24" t="inlineStr">
        <is>
          <t>Mes</t>
        </is>
      </c>
      <c r="B14" s="24" t="inlineStr">
        <is>
          <t>Ingresos (COP)</t>
        </is>
      </c>
      <c r="C14" s="24" t="inlineStr">
        <is>
          <t>Costos (COP)</t>
        </is>
      </c>
      <c r="E14" s="16" t="inlineStr">
        <is>
          <t>Franja</t>
        </is>
      </c>
      <c r="F14" s="16" t="inlineStr">
        <is>
          <t>Transacciones</t>
        </is>
      </c>
      <c r="G14" s="16" t="inlineStr">
        <is>
          <t>% del Total</t>
        </is>
      </c>
    </row>
    <row r="15" ht="18" customHeight="1">
      <c r="A15" s="5" t="inlineStr">
        <is>
          <t>Marzo 2024</t>
        </is>
      </c>
      <c r="B15" s="8">
        <f>SUMIF(Ventas!G:G,A15,Ventas!F:F)</f>
        <v/>
      </c>
      <c r="C15" s="8">
        <f>SUMIF(Compras!F:F,A15,Compras!E:E)</f>
        <v/>
      </c>
      <c r="E15" s="5" t="inlineStr">
        <is>
          <t>Mañana (7-10h)</t>
        </is>
      </c>
      <c r="F15" s="4" t="n">
        <v>38</v>
      </c>
      <c r="G15" s="25">
        <f>F15/SUM(F15:F19)</f>
        <v/>
      </c>
    </row>
    <row r="16" ht="18" customHeight="1">
      <c r="A16" s="26" t="inlineStr">
        <is>
          <t>Abril 2024</t>
        </is>
      </c>
      <c r="B16" s="27">
        <f>SUMIF(Ventas!G:G,A16,Ventas!F:F)</f>
        <v/>
      </c>
      <c r="C16" s="27">
        <f>SUMIF(Compras!F:F,A16,Compras!E:E)</f>
        <v/>
      </c>
      <c r="E16" s="7" t="inlineStr">
        <is>
          <t>Media mañana (10-12h)</t>
        </is>
      </c>
      <c r="F16" s="6" t="n">
        <v>24</v>
      </c>
      <c r="G16" s="28">
        <f>F16/SUM(F15:F19)</f>
        <v/>
      </c>
    </row>
    <row r="17" ht="18" customHeight="1">
      <c r="A17" s="29" t="inlineStr">
        <is>
          <t>MARGEN ESTIMADO</t>
        </is>
      </c>
      <c r="B17" s="30">
        <f>SUM(B15:B16)-SUM(C15:C16)</f>
        <v/>
      </c>
      <c r="C17" s="31">
        <f>B17/(SUM(B15:B16))</f>
        <v/>
      </c>
      <c r="E17" s="5" t="inlineStr">
        <is>
          <t>Almuerzo (12-14h)</t>
        </is>
      </c>
      <c r="F17" s="4" t="n">
        <v>31</v>
      </c>
      <c r="G17" s="25">
        <f>F17/SUM(F15:F19)</f>
        <v/>
      </c>
    </row>
    <row r="18" ht="18" customHeight="1">
      <c r="E18" s="7" t="inlineStr">
        <is>
          <t>Tarde (14-18h)</t>
        </is>
      </c>
      <c r="F18" s="6" t="n">
        <v>20</v>
      </c>
      <c r="G18" s="28">
        <f>F18/SUM(F15:F19)</f>
        <v/>
      </c>
    </row>
    <row r="19" ht="18" customHeight="1">
      <c r="E19" s="5" t="inlineStr">
        <is>
          <t>Cierre (18-19h)</t>
        </is>
      </c>
      <c r="F19" s="4" t="n">
        <v>7</v>
      </c>
      <c r="G19" s="25">
        <f>F19/SUM(F15:F19)</f>
        <v/>
      </c>
    </row>
    <row r="20">
      <c r="E20" s="10" t="inlineStr">
        <is>
          <t>TOTAL</t>
        </is>
      </c>
      <c r="F20" s="10">
        <f>SUM(F15:F19)</f>
        <v/>
      </c>
      <c r="G20" s="10" t="inlineStr">
        <is>
          <t>100%</t>
        </is>
      </c>
    </row>
  </sheetData>
  <mergeCells count="6">
    <mergeCell ref="A13:C13"/>
    <mergeCell ref="A2:I2"/>
    <mergeCell ref="E13:G13"/>
    <mergeCell ref="A1:I1"/>
    <mergeCell ref="E4:G4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40" customHeight="1">
      <c r="A1" s="32" t="inlineStr">
        <is>
          <t>☕  CaféDigital — Dashboard de Decisiones</t>
        </is>
      </c>
    </row>
    <row r="2" ht="20" customHeight="1">
      <c r="A2" s="2" t="inlineStr">
        <is>
          <t>Período: Marzo – Abril 2024  |  Actualización: Manual (reemplazar datos en hojas fuente)</t>
        </is>
      </c>
    </row>
    <row r="3" ht="8" customHeight="1"/>
    <row r="4" ht="20" customHeight="1">
      <c r="A4" s="33" t="inlineStr">
        <is>
          <t>INGRESOS TOTALES</t>
        </is>
      </c>
      <c r="E4" s="34" t="inlineStr">
        <is>
          <t>SATISFACCIÓN PROMEDIO</t>
        </is>
      </c>
      <c r="I4" s="35" t="inlineStr">
        <is>
          <t>CLIENTES ATENDIDOS</t>
        </is>
      </c>
      <c r="M4" s="36" t="inlineStr">
        <is>
          <t>MARGEN ESTIMADO</t>
        </is>
      </c>
    </row>
    <row r="5" ht="34" customHeight="1">
      <c r="A5" s="37">
        <f>SUM(Ventas!F:F)-Ventas!F1</f>
        <v/>
      </c>
      <c r="E5" s="38">
        <f>AVERAGE(Satisfaccion!D5:D1000)</f>
        <v/>
      </c>
      <c r="I5" s="39">
        <f>COUNTA(Ventas!A5:A10000)</f>
        <v/>
      </c>
      <c r="M5" s="40">
        <f>Analisis!C17</f>
        <v/>
      </c>
    </row>
    <row r="6" ht="16" customHeight="1">
      <c r="A6" s="41" t="n"/>
      <c r="E6" s="42" t="n"/>
      <c r="I6" s="43" t="n"/>
      <c r="M6" s="44" t="n"/>
    </row>
    <row r="7" ht="8" customHeight="1"/>
    <row r="50" ht="20" customHeight="1">
      <c r="A50" s="45" t="inlineStr">
        <is>
          <t>💡  NOTA: Para actualizar el dashboard, reemplaza los datos en las hojas Satisfaccion, Ventas y Compras. Los cálculos se actualizan automáticamente.</t>
        </is>
      </c>
    </row>
  </sheetData>
  <mergeCells count="15">
    <mergeCell ref="A5:D5"/>
    <mergeCell ref="A6:D6"/>
    <mergeCell ref="M6:N6"/>
    <mergeCell ref="A50:N50"/>
    <mergeCell ref="A4:D4"/>
    <mergeCell ref="A2:N2"/>
    <mergeCell ref="E4:H4"/>
    <mergeCell ref="E6:H6"/>
    <mergeCell ref="I4:L4"/>
    <mergeCell ref="I6:L6"/>
    <mergeCell ref="M5:N5"/>
    <mergeCell ref="M4:N4"/>
    <mergeCell ref="E5:H5"/>
    <mergeCell ref="I5:L5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2026-02-18T12:50:47Z</dcterms:created>
  <dcterms:modified xmlns:dcterms="http://purl.org/dc/terms/" xmlns:xsi="http://www.w3.org/2001/XMLSchema-instance" xsi:type="dcterms:W3CDTF">2026-02-18T12:50:47Z</dcterms:modified>
</cp:coreProperties>
</file>
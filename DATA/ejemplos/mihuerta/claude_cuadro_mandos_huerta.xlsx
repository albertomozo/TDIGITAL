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Cuadro de Mandos" sheetId="1" state="visible" r:id="rId3"/>
    <sheet name="Clientes" sheetId="2" state="visible" r:id="rId4"/>
    <sheet name="Cestas" sheetId="3" state="visible" r:id="rId5"/>
    <sheet name="Pedidos" sheetId="4" state="visible" r:id="rId6"/>
    <sheet name="Satisfacció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<sst xmlns="http://schemas.openxmlformats.org/spreadsheetml/2006/main" count="182" uniqueCount="119">
  <si>
    <t xml:space="preserve">🌿  HUERTA ONLINE · CUADRO DE MANDOS</t>
  </si>
  <si>
    <t xml:space="preserve">  📈  RESUMEN GENERAL</t>
  </si>
  <si>
    <t xml:space="preserve">Pedidos este mes</t>
  </si>
  <si>
    <t xml:space="preserve">Facturación este mes</t>
  </si>
  <si>
    <t xml:space="preserve">Clientes activos</t>
  </si>
  <si>
    <t xml:space="preserve">Satisfacción media</t>
  </si>
  <si>
    <t xml:space="preserve">Total facturado (histórico)</t>
  </si>
  <si>
    <t xml:space="preserve">Pedidos pendientes</t>
  </si>
  <si>
    <t xml:space="preserve">  🧺  CESTAS MÁS VENDIDAS</t>
  </si>
  <si>
    <t xml:space="preserve">  📦  ESTADO DE PEDIDOS</t>
  </si>
  <si>
    <t xml:space="preserve">Cesta</t>
  </si>
  <si>
    <t xml:space="preserve">Unidades vendidas</t>
  </si>
  <si>
    <t xml:space="preserve">Ingresos (€)</t>
  </si>
  <si>
    <t xml:space="preserve">% sobre total</t>
  </si>
  <si>
    <t xml:space="preserve">Estado</t>
  </si>
  <si>
    <t xml:space="preserve">Nº Pedidos</t>
  </si>
  <si>
    <t xml:space="preserve">Importe (€)</t>
  </si>
  <si>
    <t xml:space="preserve">Cesta Primavera S</t>
  </si>
  <si>
    <t xml:space="preserve">Pendiente</t>
  </si>
  <si>
    <t xml:space="preserve">Cesta Primavera M</t>
  </si>
  <si>
    <t xml:space="preserve">Entregado</t>
  </si>
  <si>
    <t xml:space="preserve">Cesta Verano S</t>
  </si>
  <si>
    <t xml:space="preserve">Cobrado</t>
  </si>
  <si>
    <t xml:space="preserve">Cesta Verano M</t>
  </si>
  <si>
    <t xml:space="preserve">Cancelado</t>
  </si>
  <si>
    <t xml:space="preserve">Cesta Sorpresa</t>
  </si>
  <si>
    <t xml:space="preserve">  ⭐  SATISFACCIÓN DE CLIENTES</t>
  </si>
  <si>
    <t xml:space="preserve">  🚨  ALERTAS</t>
  </si>
  <si>
    <t xml:space="preserve">Media general</t>
  </si>
  <si>
    <t xml:space="preserve">Pedidos pendientes &gt; 5</t>
  </si>
  <si>
    <t xml:space="preserve">Valoraciones 5⭐</t>
  </si>
  <si>
    <t xml:space="preserve">Satisfacción &lt; 3.5 (media)</t>
  </si>
  <si>
    <t xml:space="preserve">Valoraciones 4⭐</t>
  </si>
  <si>
    <t xml:space="preserve">Clientes sin pedir (30 días)</t>
  </si>
  <si>
    <t xml:space="preserve">Valoraciones ≤3</t>
  </si>
  <si>
    <t xml:space="preserve">Última cesta anunciada</t>
  </si>
  <si>
    <t xml:space="preserve">Repetirían (Sí)</t>
  </si>
  <si>
    <t xml:space="preserve">Próximo anuncio (estimado)</t>
  </si>
  <si>
    <t xml:space="preserve">Total respuestas</t>
  </si>
  <si>
    <t xml:space="preserve">  📱  PLANTILLA MENSAJE WHATSAPP (copiar y editar)</t>
  </si>
  <si>
    <t xml:space="preserve">Hola [NOMBRE] 👋
🌿 ¡Ya está disponible nuestra nueva cesta de temporada!
🧺 [NOMBRE CESTA] — [PRECIO]€
Incluye: [PRODUCTOS]
Si quieres tu cesta, respóndeme antes del [FECHA LÍMITE] con:
✅ Quiero 1 cesta / ✅ Quiero 2 cestas
Entrega el [FECHA ENTREGA] en tu domicilio.
¡Muchas gracias por confiar en nuestra huerta! 🌱</t>
  </si>
  <si>
    <t xml:space="preserve">🌿  HUERTA ONLINE · CLIENTES</t>
  </si>
  <si>
    <t xml:space="preserve">ID</t>
  </si>
  <si>
    <t xml:space="preserve">Nombre</t>
  </si>
  <si>
    <t xml:space="preserve">Teléfono</t>
  </si>
  <si>
    <t xml:space="preserve">Dirección</t>
  </si>
  <si>
    <t xml:space="preserve">Zona</t>
  </si>
  <si>
    <t xml:space="preserve">Fecha Alta</t>
  </si>
  <si>
    <t xml:space="preserve">Notas</t>
  </si>
  <si>
    <t xml:space="preserve">María García</t>
  </si>
  <si>
    <t xml:space="preserve">600 111 222</t>
  </si>
  <si>
    <t xml:space="preserve">Calle Mayor 5</t>
  </si>
  <si>
    <t xml:space="preserve">Centro</t>
  </si>
  <si>
    <t xml:space="preserve">Activo</t>
  </si>
  <si>
    <t xml:space="preserve">2024-01-10</t>
  </si>
  <si>
    <t xml:space="preserve">Prefiere cestas pequeñas</t>
  </si>
  <si>
    <t xml:space="preserve">Juan López</t>
  </si>
  <si>
    <t xml:space="preserve">611 333 444</t>
  </si>
  <si>
    <t xml:space="preserve">Av. del Mar 12</t>
  </si>
  <si>
    <t xml:space="preserve">Norte</t>
  </si>
  <si>
    <t xml:space="preserve">2024-02-15</t>
  </si>
  <si>
    <t xml:space="preserve">Alérgico a berenjenas</t>
  </si>
  <si>
    <t xml:space="preserve">Ana Martínez</t>
  </si>
  <si>
    <t xml:space="preserve">622 555 666</t>
  </si>
  <si>
    <t xml:space="preserve">C/ Rosal 8</t>
  </si>
  <si>
    <t xml:space="preserve">Sur</t>
  </si>
  <si>
    <t xml:space="preserve">2024-03-01</t>
  </si>
  <si>
    <t xml:space="preserve">Pedro Ruiz</t>
  </si>
  <si>
    <t xml:space="preserve">633 777 888</t>
  </si>
  <si>
    <t xml:space="preserve">Plaza Nueva 3</t>
  </si>
  <si>
    <t xml:space="preserve">Inactivo</t>
  </si>
  <si>
    <t xml:space="preserve">2023-11-20</t>
  </si>
  <si>
    <t xml:space="preserve">Pausa hasta mayo</t>
  </si>
  <si>
    <t xml:space="preserve">Laura Sánchez</t>
  </si>
  <si>
    <t xml:space="preserve">644 999 000</t>
  </si>
  <si>
    <t xml:space="preserve">C/ Pinos 22</t>
  </si>
  <si>
    <t xml:space="preserve">Este</t>
  </si>
  <si>
    <t xml:space="preserve">2024-04-05</t>
  </si>
  <si>
    <t xml:space="preserve">🧺  HUERTA ONLINE · CESTAS DE TEMPORADA</t>
  </si>
  <si>
    <t xml:space="preserve">ID Cesta</t>
  </si>
  <si>
    <t xml:space="preserve">Temporada</t>
  </si>
  <si>
    <t xml:space="preserve">Productos incluidos</t>
  </si>
  <si>
    <t xml:space="preserve">Precio (€)</t>
  </si>
  <si>
    <t xml:space="preserve">Fecha Anuncio</t>
  </si>
  <si>
    <t xml:space="preserve">Primavera</t>
  </si>
  <si>
    <t xml:space="preserve">Lechugas, espinacas, rábanos, zanahorias, guisantes</t>
  </si>
  <si>
    <t xml:space="preserve">2024-04-01</t>
  </si>
  <si>
    <t xml:space="preserve">Disponible</t>
  </si>
  <si>
    <t xml:space="preserve">Lechugas, espinacas, rábanos, zanahorias, guisantes, acelgas, apio</t>
  </si>
  <si>
    <t xml:space="preserve">Verano</t>
  </si>
  <si>
    <t xml:space="preserve">Tomates, pepinos, pimientos, calabacines, berenjenas</t>
  </si>
  <si>
    <t xml:space="preserve">2024-06-01</t>
  </si>
  <si>
    <t xml:space="preserve">Próxima</t>
  </si>
  <si>
    <t xml:space="preserve">Tomates, pepinos, pimientos, calabacines, berenjenas, melón, judías verdes</t>
  </si>
  <si>
    <t xml:space="preserve">Todo el año</t>
  </si>
  <si>
    <t xml:space="preserve">Selección del día según cosecha</t>
  </si>
  <si>
    <t xml:space="preserve">📦  HUERTA ONLINE · PEDIDOS</t>
  </si>
  <si>
    <t xml:space="preserve">ID Pedido</t>
  </si>
  <si>
    <t xml:space="preserve">Fecha</t>
  </si>
  <si>
    <t xml:space="preserve">ID Cliente</t>
  </si>
  <si>
    <t xml:space="preserve">Nombre Cliente</t>
  </si>
  <si>
    <t xml:space="preserve">Cantidad</t>
  </si>
  <si>
    <t xml:space="preserve">2024-04-03</t>
  </si>
  <si>
    <t xml:space="preserve">2024-04-17</t>
  </si>
  <si>
    <t xml:space="preserve">2024-05-02</t>
  </si>
  <si>
    <t xml:space="preserve">⭐  HUERTA ONLINE · SATISFACCIÓN DE CLIENTES</t>
  </si>
  <si>
    <t xml:space="preserve">Cesta valorada</t>
  </si>
  <si>
    <t xml:space="preserve">Valoración (1-5)</t>
  </si>
  <si>
    <t xml:space="preserve">Volvería a pedir</t>
  </si>
  <si>
    <t xml:space="preserve">Comentario</t>
  </si>
  <si>
    <t xml:space="preserve">2024-04-08</t>
  </si>
  <si>
    <t xml:space="preserve">Sí</t>
  </si>
  <si>
    <t xml:space="preserve">Productos fresquísimos, muy contenta</t>
  </si>
  <si>
    <t xml:space="preserve">Buena variedad, alguna hoja mustia</t>
  </si>
  <si>
    <t xml:space="preserve">Perfecto, repetiré seguro</t>
  </si>
  <si>
    <t xml:space="preserve">2024-04-22</t>
  </si>
  <si>
    <t xml:space="preserve">Me encantó la sorpresa</t>
  </si>
  <si>
    <t xml:space="preserve">Quizás</t>
  </si>
  <si>
    <t xml:space="preserve">Llegó tarde, esperaba más variedad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</si>
</sst>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\€#,##0.00"/>
    <numFmt numFmtId="167" formatCode="0.0&quot; ⭐&quot;"/>
    <numFmt numFmtId="168" formatCode="0.0%"/>
    <numFmt numFmtId="169" formatCode="0.00"/>
    <numFmt numFmtId="170" formatCode="0"/>
    <numFmt numFmtId="171" formatCode="dd/mm/yy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2E8B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18"/>
      <color rgb="FF1565C0"/>
      <name val="Arial"/>
      <family val="0"/>
      <charset val="1"/>
    </font>
    <font>
      <b val="true"/>
      <sz val="18"/>
      <color rgb="FF1D6A3E"/>
      <name val="Arial"/>
      <family val="0"/>
      <charset val="1"/>
    </font>
    <font>
      <b val="true"/>
      <sz val="18"/>
      <color rgb="FFF9A82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sz val="11"/>
      <color rgb="FF1D6A3E"/>
      <name val="Arial"/>
      <family val="0"/>
      <charset val="1"/>
    </font>
    <font>
      <b val="true"/>
      <sz val="11"/>
      <color rgb="FFF9A825"/>
      <name val="Arial"/>
      <family val="0"/>
      <charset val="1"/>
    </font>
    <font>
      <sz val="11"/>
      <color rgb="FFF9A825"/>
      <name val="Arial"/>
      <family val="0"/>
      <charset val="1"/>
    </font>
    <font>
      <b val="true"/>
      <sz val="11"/>
      <color rgb="FF1D6A3E"/>
      <name val="Arial"/>
      <family val="0"/>
      <charset val="1"/>
    </font>
    <font>
      <sz val="11"/>
      <color rgb="FF1565C0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sz val="11"/>
      <color rgb="FFC62828"/>
      <name val="Arial"/>
      <family val="0"/>
      <charset val="1"/>
    </font>
    <font>
      <b val="true"/>
      <sz val="12"/>
      <color rgb="FFF9A825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D6A3E"/>
        <bgColor rgb="FF2E8B57"/>
      </patternFill>
    </fill>
    <fill>
      <patternFill patternType="solid">
        <fgColor rgb="FFE8F5E9"/>
        <bgColor rgb="FFECEFF1"/>
      </patternFill>
    </fill>
    <fill>
      <patternFill patternType="solid">
        <fgColor rgb="FF37474F"/>
        <bgColor rgb="FF333300"/>
      </patternFill>
    </fill>
    <fill>
      <patternFill patternType="solid">
        <fgColor rgb="FFECEFF1"/>
        <bgColor rgb="FFE8F5E9"/>
      </patternFill>
    </fill>
    <fill>
      <patternFill patternType="solid">
        <fgColor rgb="FFE3F2FD"/>
        <bgColor rgb="FFECEFF1"/>
      </patternFill>
    </fill>
    <fill>
      <patternFill patternType="solid">
        <fgColor rgb="FFFFF9C4"/>
        <bgColor rgb="FFFFEBEE"/>
      </patternFill>
    </fill>
    <fill>
      <patternFill patternType="solid">
        <fgColor rgb="FF2E8B57"/>
        <bgColor rgb="FF1D6A3E"/>
      </patternFill>
    </fill>
    <fill>
      <patternFill patternType="solid">
        <fgColor rgb="FF1565C0"/>
        <bgColor rgb="FF3366FF"/>
      </patternFill>
    </fill>
    <fill>
      <patternFill patternType="solid">
        <fgColor rgb="FFFFFFFF"/>
        <bgColor rgb="FFFFEBEE"/>
      </patternFill>
    </fill>
    <fill>
      <patternFill patternType="solid">
        <fgColor rgb="FFF9A825"/>
        <bgColor rgb="FFFFCC00"/>
      </patternFill>
    </fill>
    <fill>
      <patternFill patternType="solid">
        <fgColor rgb="FFC62828"/>
        <bgColor rgb="FF993366"/>
      </patternFill>
    </fill>
    <fill>
      <patternFill patternType="solid">
        <fgColor rgb="FFFFEBEE"/>
        <bgColor rgb="FFECEF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medium">
        <color rgb="FF1D6A3E"/>
      </left>
      <right/>
      <top style="medium">
        <color rgb="FF1D6A3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E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666699"/>
      <rgbColor rgb="FF969696"/>
      <rgbColor rgb="FF003366"/>
      <rgbColor rgb="FF2E8B57"/>
      <rgbColor rgb="FF003300"/>
      <rgbColor rgb="FF333300"/>
      <rgbColor rgb="FFC62828"/>
      <rgbColor rgb="FF993366"/>
      <rgbColor rgb="FF37474F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tr">
        <f aca="true">TEXT(TODAY(),"DD/MM/YYYY")</f>
        <v>24/06/2026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9.5" hidden="false" customHeight="true" outlineLevel="0" collapsed="false">
      <c r="A5" s="4" t="s">
        <v>2</v>
      </c>
      <c r="B5" s="4"/>
      <c r="C5" s="4" t="s">
        <v>3</v>
      </c>
      <c r="D5" s="4"/>
      <c r="E5" s="4" t="s">
        <v>4</v>
      </c>
      <c r="F5" s="4"/>
      <c r="G5" s="4" t="s">
        <v>5</v>
      </c>
      <c r="H5" s="4"/>
      <c r="I5" s="4" t="s">
        <v>6</v>
      </c>
      <c r="J5" s="4"/>
      <c r="K5" s="4" t="s">
        <v>7</v>
      </c>
      <c r="L5" s="4"/>
    </row>
    <row r="6" customFormat="false" ht="33.75" hidden="false" customHeight="true" outlineLevel="0" collapsed="false">
      <c r="A6" s="5" t="n">
        <f aca="true">COUNTIFS(Pedidos!B:B,"&gt;="&amp;DATE(YEAR(TODAY()),MONTH(TODAY()),1),Pedidos!B:B,"&lt;="&amp;EOMONTH(TODAY(),0))</f>
        <v>0</v>
      </c>
      <c r="B6" s="5"/>
      <c r="C6" s="6" t="n">
        <f aca="true">SUMIFS(Pedidos!H:H,Pedidos!B:B,"&gt;="&amp;DATE(YEAR(TODAY()),MONTH(TODAY()),1),Pedidos!B:B,"&lt;="&amp;EOMONTH(TODAY(),0))</f>
        <v>0</v>
      </c>
      <c r="D6" s="6"/>
      <c r="E6" s="7" t="n">
        <f aca="false">COUNTIF(Clientes!F:F,"Activo")</f>
        <v>4</v>
      </c>
      <c r="F6" s="7"/>
      <c r="G6" s="8" t="n">
        <f aca="false">IFERROR(AVERAGE(Satisfacción!E:E),0)</f>
        <v>4.2</v>
      </c>
      <c r="H6" s="8"/>
      <c r="I6" s="9" t="n">
        <f aca="false">SUMIF(Pedidos!I:I,"&lt;&gt;Cancelado",Pedidos!H:H)</f>
        <v>137</v>
      </c>
      <c r="J6" s="9"/>
      <c r="K6" s="10" t="n">
        <f aca="false">COUNTIF(Pedidos!I:I,"Pendiente")</f>
        <v>2</v>
      </c>
      <c r="L6" s="10"/>
    </row>
    <row r="7" customFormat="false" ht="9.75" hidden="false" customHeight="true" outlineLevel="0" collapsed="false"/>
    <row r="8" customFormat="false" ht="21.75" hidden="false" customHeight="true" outlineLevel="0" collapsed="false">
      <c r="A8" s="11" t="s">
        <v>8</v>
      </c>
      <c r="B8" s="11"/>
      <c r="C8" s="11"/>
      <c r="D8" s="11"/>
      <c r="E8" s="11"/>
      <c r="F8" s="11"/>
      <c r="G8" s="12" t="s">
        <v>9</v>
      </c>
      <c r="H8" s="12"/>
      <c r="I8" s="12"/>
      <c r="J8" s="12"/>
      <c r="K8" s="12"/>
      <c r="L8" s="12"/>
    </row>
    <row r="9" customFormat="false" ht="15" hidden="false" customHeight="false" outlineLevel="0" collapsed="false">
      <c r="A9" s="13" t="s">
        <v>10</v>
      </c>
      <c r="B9" s="13" t="s">
        <v>11</v>
      </c>
      <c r="C9" s="13" t="s">
        <v>12</v>
      </c>
      <c r="D9" s="14" t="s">
        <v>13</v>
      </c>
      <c r="E9" s="14"/>
      <c r="F9" s="14"/>
      <c r="G9" s="15" t="s">
        <v>14</v>
      </c>
      <c r="H9" s="15"/>
      <c r="I9" s="15"/>
      <c r="J9" s="16" t="s">
        <v>15</v>
      </c>
      <c r="K9" s="15" t="s">
        <v>16</v>
      </c>
      <c r="L9" s="15"/>
    </row>
    <row r="10" customFormat="false" ht="15" hidden="false" customHeight="false" outlineLevel="0" collapsed="false">
      <c r="A10" s="17" t="s">
        <v>17</v>
      </c>
      <c r="B10" s="18" t="n">
        <f aca="false">COUNTIF(Pedidos!F:F,"Cesta Primavera S")</f>
        <v>3</v>
      </c>
      <c r="C10" s="19" t="n">
        <f aca="false">SUMIF(Pedidos!F:F,"Cesta Primavera S",Pedidos!H:H)</f>
        <v>72</v>
      </c>
      <c r="D10" s="20" t="n">
        <f aca="false">IFERROR(SUMIF(Pedidos!F:F,"Cesta Primavera S",Pedidos!H:H)/SUMIF(Pedidos!I:I,"&lt;&gt;Cancelado",Pedidos!H:H),0)</f>
        <v>0.525547445255475</v>
      </c>
      <c r="E10" s="20"/>
      <c r="F10" s="20"/>
      <c r="G10" s="21" t="s">
        <v>18</v>
      </c>
      <c r="H10" s="21"/>
      <c r="I10" s="21"/>
      <c r="J10" s="22" t="n">
        <f aca="false">COUNTIF(Pedidos!I:I,"Pendiente")</f>
        <v>2</v>
      </c>
      <c r="K10" s="23" t="n">
        <f aca="false">SUMIF(Pedidos!I:I,"Pendiente",Pedidos!H:H)</f>
        <v>43</v>
      </c>
      <c r="L10" s="23"/>
    </row>
    <row r="11" customFormat="false" ht="15" hidden="false" customHeight="false" outlineLevel="0" collapsed="false">
      <c r="A11" s="24" t="s">
        <v>19</v>
      </c>
      <c r="B11" s="25" t="n">
        <f aca="false">COUNTIF(Pedidos!F:F,"Cesta Primavera M")</f>
        <v>2</v>
      </c>
      <c r="C11" s="26" t="n">
        <f aca="false">SUMIF(Pedidos!F:F,"Cesta Primavera M",Pedidos!H:H)</f>
        <v>50</v>
      </c>
      <c r="D11" s="27" t="n">
        <f aca="false">IFERROR(SUMIF(Pedidos!F:F,"Cesta Primavera M",Pedidos!H:H)/SUMIF(Pedidos!I:I,"&lt;&gt;Cancelado",Pedidos!H:H),0)</f>
        <v>0.364963503649635</v>
      </c>
      <c r="E11" s="27"/>
      <c r="F11" s="27"/>
      <c r="G11" s="28" t="s">
        <v>20</v>
      </c>
      <c r="H11" s="28"/>
      <c r="I11" s="28"/>
      <c r="J11" s="29" t="n">
        <f aca="false">COUNTIF(Pedidos!I:I,"Entregado")</f>
        <v>4</v>
      </c>
      <c r="K11" s="30" t="n">
        <f aca="false">SUMIF(Pedidos!I:I,"Entregado",Pedidos!H:H)</f>
        <v>94</v>
      </c>
      <c r="L11" s="30"/>
    </row>
    <row r="12" customFormat="false" ht="15" hidden="false" customHeight="false" outlineLevel="0" collapsed="false">
      <c r="A12" s="17" t="s">
        <v>21</v>
      </c>
      <c r="B12" s="18" t="n">
        <f aca="false">COUNTIF(Pedidos!F:F,"Cesta Verano S")</f>
        <v>0</v>
      </c>
      <c r="C12" s="19" t="n">
        <f aca="false">SUMIF(Pedidos!F:F,"Cesta Verano S",Pedidos!H:H)</f>
        <v>0</v>
      </c>
      <c r="D12" s="20" t="n">
        <f aca="false">IFERROR(SUMIF(Pedidos!F:F,"Cesta Verano S",Pedidos!H:H)/SUMIF(Pedidos!I:I,"&lt;&gt;Cancelado",Pedidos!H:H),0)</f>
        <v>0</v>
      </c>
      <c r="E12" s="20"/>
      <c r="F12" s="20"/>
      <c r="G12" s="31" t="s">
        <v>22</v>
      </c>
      <c r="H12" s="31"/>
      <c r="I12" s="31"/>
      <c r="J12" s="18" t="n">
        <f aca="false">COUNTIF(Pedidos!I:I,"Cobrado")</f>
        <v>0</v>
      </c>
      <c r="K12" s="32" t="n">
        <f aca="false">SUMIF(Pedidos!I:I,"Cobrado",Pedidos!H:H)</f>
        <v>0</v>
      </c>
      <c r="L12" s="32"/>
    </row>
    <row r="13" customFormat="false" ht="15" hidden="false" customHeight="false" outlineLevel="0" collapsed="false">
      <c r="A13" s="24" t="s">
        <v>23</v>
      </c>
      <c r="B13" s="25" t="n">
        <f aca="false">COUNTIF(Pedidos!F:F,"Cesta Verano M")</f>
        <v>0</v>
      </c>
      <c r="C13" s="26" t="n">
        <f aca="false">SUMIF(Pedidos!F:F,"Cesta Verano M",Pedidos!H:H)</f>
        <v>0</v>
      </c>
      <c r="D13" s="27" t="n">
        <f aca="false">IFERROR(SUMIF(Pedidos!F:F,"Cesta Verano M",Pedidos!H:H)/SUMIF(Pedidos!I:I,"&lt;&gt;Cancelado",Pedidos!H:H),0)</f>
        <v>0</v>
      </c>
      <c r="E13" s="27"/>
      <c r="F13" s="27"/>
      <c r="G13" s="33" t="s">
        <v>24</v>
      </c>
      <c r="H13" s="33"/>
      <c r="I13" s="33"/>
      <c r="J13" s="34" t="n">
        <f aca="false">COUNTIF(Pedidos!I:I,"Cancelado")</f>
        <v>0</v>
      </c>
      <c r="K13" s="35" t="n">
        <f aca="false">SUMIF(Pedidos!I:I,"Cancelado",Pedidos!H:H)</f>
        <v>0</v>
      </c>
      <c r="L13" s="35"/>
    </row>
    <row r="14" customFormat="false" ht="15" hidden="false" customHeight="false" outlineLevel="0" collapsed="false">
      <c r="A14" s="17" t="s">
        <v>25</v>
      </c>
      <c r="B14" s="18" t="n">
        <f aca="false">COUNTIF(Pedidos!F:F,"Cesta Sorpresa")</f>
        <v>1</v>
      </c>
      <c r="C14" s="19" t="n">
        <f aca="false">SUMIF(Pedidos!F:F,"Cesta Sorpresa",Pedidos!H:H)</f>
        <v>15</v>
      </c>
      <c r="D14" s="20" t="n">
        <f aca="false">IFERROR(SUMIF(Pedidos!F:F,"Cesta Sorpresa",Pedidos!H:H)/SUMIF(Pedidos!I:I,"&lt;&gt;Cancelado",Pedidos!H:H),0)</f>
        <v>0.109489051094891</v>
      </c>
      <c r="E14" s="20"/>
      <c r="F14" s="20"/>
    </row>
    <row r="15" customFormat="false" ht="9.75" hidden="false" customHeight="true" outlineLevel="0" collapsed="false"/>
    <row r="16" customFormat="false" ht="21.75" hidden="false" customHeight="true" outlineLevel="0" collapsed="false">
      <c r="A16" s="36" t="s">
        <v>26</v>
      </c>
      <c r="B16" s="36"/>
      <c r="C16" s="36"/>
      <c r="D16" s="36"/>
      <c r="E16" s="36"/>
      <c r="F16" s="36"/>
      <c r="G16" s="37" t="s">
        <v>27</v>
      </c>
      <c r="H16" s="37"/>
      <c r="I16" s="37"/>
      <c r="J16" s="37"/>
      <c r="K16" s="37"/>
      <c r="L16" s="37"/>
    </row>
    <row r="17" customFormat="false" ht="15" hidden="false" customHeight="false" outlineLevel="0" collapsed="false">
      <c r="A17" s="38" t="s">
        <v>28</v>
      </c>
      <c r="B17" s="38"/>
      <c r="C17" s="38"/>
      <c r="D17" s="38"/>
      <c r="E17" s="39" t="n">
        <f aca="false">IFERROR(AVERAGE(Satisfacción!E:E),0)</f>
        <v>4.2</v>
      </c>
      <c r="F17" s="39"/>
      <c r="G17" s="40" t="s">
        <v>29</v>
      </c>
      <c r="H17" s="40"/>
      <c r="I17" s="40"/>
      <c r="J17" s="41" t="str">
        <f aca="false">IF(COUNTIF(Pedidos!I:I,"Pendiente")&gt;5,"⚠️ REVISAR","✅ OK")</f>
        <v>✅ OK</v>
      </c>
      <c r="K17" s="41"/>
      <c r="L17" s="41"/>
    </row>
    <row r="18" customFormat="false" ht="15" hidden="false" customHeight="false" outlineLevel="0" collapsed="false">
      <c r="A18" s="42" t="s">
        <v>30</v>
      </c>
      <c r="B18" s="42"/>
      <c r="C18" s="42"/>
      <c r="D18" s="42"/>
      <c r="E18" s="43" t="n">
        <f aca="false">COUNTIF(Satisfacción!E:E,5)</f>
        <v>2</v>
      </c>
      <c r="F18" s="43"/>
      <c r="G18" s="44" t="s">
        <v>31</v>
      </c>
      <c r="H18" s="44"/>
      <c r="I18" s="44"/>
      <c r="J18" s="45" t="str">
        <f aca="false">IF(IFERROR(AVERAGE(Satisfacción!E:E),5)&lt;3.5,"⚠️ ATENCIÓN","✅ OK")</f>
        <v>✅ OK</v>
      </c>
      <c r="K18" s="45"/>
      <c r="L18" s="45"/>
    </row>
    <row r="19" customFormat="false" ht="15" hidden="false" customHeight="false" outlineLevel="0" collapsed="false">
      <c r="A19" s="38" t="s">
        <v>32</v>
      </c>
      <c r="B19" s="38"/>
      <c r="C19" s="38"/>
      <c r="D19" s="38"/>
      <c r="E19" s="46" t="n">
        <f aca="false">COUNTIF(Satisfacción!E:E,4)</f>
        <v>2</v>
      </c>
      <c r="F19" s="46"/>
      <c r="G19" s="40" t="s">
        <v>33</v>
      </c>
      <c r="H19" s="40"/>
      <c r="I19" s="40"/>
      <c r="J19" s="41" t="str">
        <f aca="false">COUNTIFS(Clientes!F:F,"Activo")&amp;" activos (verificar manualmente)"</f>
        <v>4 activos (verificar manualmente)</v>
      </c>
      <c r="K19" s="41"/>
      <c r="L19" s="41"/>
    </row>
    <row r="20" customFormat="false" ht="15" hidden="false" customHeight="false" outlineLevel="0" collapsed="false">
      <c r="A20" s="42" t="s">
        <v>34</v>
      </c>
      <c r="B20" s="42"/>
      <c r="C20" s="42"/>
      <c r="D20" s="42"/>
      <c r="E20" s="43" t="n">
        <f aca="false">COUNTIF(Satisfacción!E:E,"&lt;=3")</f>
        <v>1</v>
      </c>
      <c r="F20" s="43"/>
      <c r="G20" s="44" t="s">
        <v>35</v>
      </c>
      <c r="H20" s="44"/>
      <c r="I20" s="44"/>
      <c r="J20" s="45" t="str">
        <f aca="false">IFERROR(TEXT(MAX(Cestas!F:F),"DD/MM/YYYY"),"Sin datos")</f>
        <v>30/12/1899</v>
      </c>
      <c r="K20" s="45"/>
      <c r="L20" s="45"/>
    </row>
    <row r="21" customFormat="false" ht="15" hidden="false" customHeight="false" outlineLevel="0" collapsed="false">
      <c r="A21" s="38" t="s">
        <v>36</v>
      </c>
      <c r="B21" s="38"/>
      <c r="C21" s="38"/>
      <c r="D21" s="38"/>
      <c r="E21" s="46" t="n">
        <f aca="false">COUNTIF(Satisfacción!F:F,"Sí")</f>
        <v>4</v>
      </c>
      <c r="F21" s="46"/>
      <c r="G21" s="40" t="s">
        <v>37</v>
      </c>
      <c r="H21" s="40"/>
      <c r="I21" s="40"/>
      <c r="J21" s="41" t="str">
        <f aca="false">IFERROR(TEXT(MAX(Cestas!F:F)+15,"DD/MM/YYYY"),"Sin datos")</f>
        <v>14/01/1900</v>
      </c>
      <c r="K21" s="41"/>
      <c r="L21" s="41"/>
    </row>
    <row r="22" customFormat="false" ht="15" hidden="false" customHeight="false" outlineLevel="0" collapsed="false">
      <c r="A22" s="42" t="s">
        <v>38</v>
      </c>
      <c r="B22" s="42"/>
      <c r="C22" s="42"/>
      <c r="D22" s="42"/>
      <c r="E22" s="43" t="n">
        <f aca="false">COUNTA(Satisfacción!E:E)-1</f>
        <v>5</v>
      </c>
      <c r="F22" s="43"/>
    </row>
    <row r="23" customFormat="false" ht="9.75" hidden="false" customHeight="true" outlineLevel="0" collapsed="false"/>
    <row r="24" customFormat="false" ht="21.75" hidden="false" customHeight="true" outlineLevel="0" collapsed="false">
      <c r="A24" s="11" t="s">
        <v>39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15.75" hidden="false" customHeight="true" outlineLevel="0" collapsed="false">
      <c r="A25" s="47" t="s">
        <v>40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customFormat="false" ht="15.75" hidden="false" customHeight="true" outlineLevel="0" collapsed="false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customFormat="false" ht="15.75" hidden="false" customHeight="true" outlineLevel="0" collapsed="false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customFormat="false" ht="15.75" hidden="false" customHeight="true" outlineLevel="0" collapsed="false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customFormat="false" ht="15.75" hidden="false" customHeight="true" outlineLevel="0" collapsed="false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customFormat="false" ht="15.75" hidden="false" customHeight="true" outlineLevel="0" collapsed="false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customFormat="false" ht="15.75" hidden="false" customHeight="true" outlineLevel="0" collapsed="false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</row>
    <row r="32" customFormat="false" ht="15.75" hidden="false" customHeight="true" outlineLevel="0" collapsed="false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</row>
    <row r="33" customFormat="false" ht="15.75" hidden="false" customHeight="true" outlineLevel="0" collapsed="false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</row>
    <row r="34" customFormat="false" ht="15.75" hidden="false" customHeight="true" outlineLevel="0" collapsed="false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</row>
  </sheetData>
  <mergeCells count="59">
    <mergeCell ref="A1:L1"/>
    <mergeCell ref="A2:L2"/>
    <mergeCell ref="A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F8"/>
    <mergeCell ref="G8:L8"/>
    <mergeCell ref="D9:F9"/>
    <mergeCell ref="G9:I9"/>
    <mergeCell ref="K9:L9"/>
    <mergeCell ref="D10:F10"/>
    <mergeCell ref="G10:I10"/>
    <mergeCell ref="K10:L10"/>
    <mergeCell ref="D11:F11"/>
    <mergeCell ref="G11:I11"/>
    <mergeCell ref="K11:L11"/>
    <mergeCell ref="D12:F12"/>
    <mergeCell ref="G12:I12"/>
    <mergeCell ref="K12:L12"/>
    <mergeCell ref="D13:F13"/>
    <mergeCell ref="G13:I13"/>
    <mergeCell ref="K13:L13"/>
    <mergeCell ref="D14:F14"/>
    <mergeCell ref="A16:F16"/>
    <mergeCell ref="G16:L16"/>
    <mergeCell ref="A17:D17"/>
    <mergeCell ref="E17:F17"/>
    <mergeCell ref="G17:I17"/>
    <mergeCell ref="J17:L17"/>
    <mergeCell ref="A18:D18"/>
    <mergeCell ref="E18:F18"/>
    <mergeCell ref="G18:I18"/>
    <mergeCell ref="J18:L18"/>
    <mergeCell ref="A19:D19"/>
    <mergeCell ref="E19:F19"/>
    <mergeCell ref="G19:I19"/>
    <mergeCell ref="J19:L19"/>
    <mergeCell ref="A20:D20"/>
    <mergeCell ref="E20:F20"/>
    <mergeCell ref="G20:I20"/>
    <mergeCell ref="J20:L20"/>
    <mergeCell ref="A21:D21"/>
    <mergeCell ref="E21:F21"/>
    <mergeCell ref="G21:I21"/>
    <mergeCell ref="J21:L21"/>
    <mergeCell ref="A22:D22"/>
    <mergeCell ref="E22:F22"/>
    <mergeCell ref="A24:L24"/>
    <mergeCell ref="A25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31.5" hidden="false" customHeight="true" outlineLevel="0" collapsed="false">
      <c r="A1" s="48" t="s">
        <v>41</v>
      </c>
      <c r="B1" s="48"/>
      <c r="C1" s="48"/>
      <c r="D1" s="48"/>
      <c r="E1" s="48"/>
      <c r="F1" s="48"/>
      <c r="G1" s="48"/>
      <c r="H1" s="48"/>
    </row>
    <row r="2" customFormat="false" ht="21.75" hidden="false" customHeight="true" outlineLevel="0" collapsed="false">
      <c r="A2" s="49" t="s">
        <v>42</v>
      </c>
      <c r="B2" s="49" t="s">
        <v>43</v>
      </c>
      <c r="C2" s="49" t="s">
        <v>44</v>
      </c>
      <c r="D2" s="49" t="s">
        <v>45</v>
      </c>
      <c r="E2" s="49" t="s">
        <v>46</v>
      </c>
      <c r="F2" s="49" t="s">
        <v>14</v>
      </c>
      <c r="G2" s="49" t="s">
        <v>47</v>
      </c>
      <c r="H2" s="49" t="s">
        <v>48</v>
      </c>
    </row>
    <row r="3" customFormat="false" ht="15" hidden="false" customHeight="false" outlineLevel="0" collapsed="false">
      <c r="A3" s="50" t="n">
        <v>1</v>
      </c>
      <c r="B3" s="17" t="s">
        <v>49</v>
      </c>
      <c r="C3" s="17" t="s">
        <v>50</v>
      </c>
      <c r="D3" s="17" t="s">
        <v>51</v>
      </c>
      <c r="E3" s="17" t="s">
        <v>52</v>
      </c>
      <c r="F3" s="51" t="s">
        <v>53</v>
      </c>
      <c r="G3" s="52" t="s">
        <v>54</v>
      </c>
      <c r="H3" s="17" t="s">
        <v>55</v>
      </c>
    </row>
    <row r="4" customFormat="false" ht="15" hidden="false" customHeight="false" outlineLevel="0" collapsed="false">
      <c r="A4" s="53" t="n">
        <v>2</v>
      </c>
      <c r="B4" s="24" t="s">
        <v>56</v>
      </c>
      <c r="C4" s="24" t="s">
        <v>57</v>
      </c>
      <c r="D4" s="24" t="s">
        <v>58</v>
      </c>
      <c r="E4" s="24" t="s">
        <v>59</v>
      </c>
      <c r="F4" s="54" t="s">
        <v>53</v>
      </c>
      <c r="G4" s="55" t="s">
        <v>60</v>
      </c>
      <c r="H4" s="24" t="s">
        <v>61</v>
      </c>
    </row>
    <row r="5" customFormat="false" ht="15" hidden="false" customHeight="false" outlineLevel="0" collapsed="false">
      <c r="A5" s="50" t="n">
        <v>3</v>
      </c>
      <c r="B5" s="17" t="s">
        <v>62</v>
      </c>
      <c r="C5" s="17" t="s">
        <v>63</v>
      </c>
      <c r="D5" s="17" t="s">
        <v>64</v>
      </c>
      <c r="E5" s="17" t="s">
        <v>65</v>
      </c>
      <c r="F5" s="51" t="s">
        <v>53</v>
      </c>
      <c r="G5" s="52" t="s">
        <v>66</v>
      </c>
      <c r="H5" s="17"/>
    </row>
    <row r="6" customFormat="false" ht="15" hidden="false" customHeight="false" outlineLevel="0" collapsed="false">
      <c r="A6" s="53" t="n">
        <v>4</v>
      </c>
      <c r="B6" s="24" t="s">
        <v>67</v>
      </c>
      <c r="C6" s="24" t="s">
        <v>68</v>
      </c>
      <c r="D6" s="24" t="s">
        <v>69</v>
      </c>
      <c r="E6" s="24" t="s">
        <v>52</v>
      </c>
      <c r="F6" s="56" t="s">
        <v>70</v>
      </c>
      <c r="G6" s="55" t="s">
        <v>71</v>
      </c>
      <c r="H6" s="24" t="s">
        <v>72</v>
      </c>
    </row>
    <row r="7" customFormat="false" ht="15" hidden="false" customHeight="false" outlineLevel="0" collapsed="false">
      <c r="A7" s="50" t="n">
        <v>5</v>
      </c>
      <c r="B7" s="17" t="s">
        <v>73</v>
      </c>
      <c r="C7" s="17" t="s">
        <v>74</v>
      </c>
      <c r="D7" s="17" t="s">
        <v>75</v>
      </c>
      <c r="E7" s="17" t="s">
        <v>76</v>
      </c>
      <c r="F7" s="51" t="s">
        <v>53</v>
      </c>
      <c r="G7" s="52" t="s">
        <v>77</v>
      </c>
      <c r="H7" s="17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F3:F200" type="list">
      <formula1>"Activo,Inactivo,Pausa"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48" t="s">
        <v>78</v>
      </c>
      <c r="B1" s="48"/>
      <c r="C1" s="48"/>
      <c r="D1" s="48"/>
      <c r="E1" s="48"/>
      <c r="F1" s="48"/>
      <c r="G1" s="48"/>
    </row>
    <row r="2" customFormat="false" ht="21.75" hidden="false" customHeight="true" outlineLevel="0" collapsed="false">
      <c r="A2" s="49" t="s">
        <v>79</v>
      </c>
      <c r="B2" s="49" t="s">
        <v>43</v>
      </c>
      <c r="C2" s="49" t="s">
        <v>80</v>
      </c>
      <c r="D2" s="49" t="s">
        <v>81</v>
      </c>
      <c r="E2" s="49" t="s">
        <v>82</v>
      </c>
      <c r="F2" s="49" t="s">
        <v>83</v>
      </c>
      <c r="G2" s="49" t="s">
        <v>14</v>
      </c>
    </row>
    <row r="3" customFormat="false" ht="15" hidden="false" customHeight="false" outlineLevel="0" collapsed="false">
      <c r="A3" s="50" t="n">
        <v>1</v>
      </c>
      <c r="B3" s="17" t="s">
        <v>17</v>
      </c>
      <c r="C3" s="17" t="s">
        <v>84</v>
      </c>
      <c r="D3" s="17" t="s">
        <v>85</v>
      </c>
      <c r="E3" s="57" t="n">
        <v>18</v>
      </c>
      <c r="F3" s="52" t="s">
        <v>86</v>
      </c>
      <c r="G3" s="51" t="s">
        <v>87</v>
      </c>
    </row>
    <row r="4" customFormat="false" ht="15" hidden="false" customHeight="false" outlineLevel="0" collapsed="false">
      <c r="A4" s="58" t="n">
        <v>2</v>
      </c>
      <c r="B4" s="59" t="s">
        <v>19</v>
      </c>
      <c r="C4" s="59" t="s">
        <v>84</v>
      </c>
      <c r="D4" s="59" t="s">
        <v>88</v>
      </c>
      <c r="E4" s="60" t="n">
        <v>25</v>
      </c>
      <c r="F4" s="61" t="s">
        <v>86</v>
      </c>
      <c r="G4" s="62" t="s">
        <v>87</v>
      </c>
    </row>
    <row r="5" customFormat="false" ht="15" hidden="false" customHeight="false" outlineLevel="0" collapsed="false">
      <c r="A5" s="50" t="n">
        <v>3</v>
      </c>
      <c r="B5" s="17" t="s">
        <v>21</v>
      </c>
      <c r="C5" s="17" t="s">
        <v>89</v>
      </c>
      <c r="D5" s="17" t="s">
        <v>90</v>
      </c>
      <c r="E5" s="57" t="n">
        <v>18</v>
      </c>
      <c r="F5" s="52" t="s">
        <v>91</v>
      </c>
      <c r="G5" s="63" t="s">
        <v>92</v>
      </c>
    </row>
    <row r="6" customFormat="false" ht="15" hidden="false" customHeight="false" outlineLevel="0" collapsed="false">
      <c r="A6" s="58" t="n">
        <v>4</v>
      </c>
      <c r="B6" s="59" t="s">
        <v>23</v>
      </c>
      <c r="C6" s="59" t="s">
        <v>89</v>
      </c>
      <c r="D6" s="59" t="s">
        <v>93</v>
      </c>
      <c r="E6" s="60" t="n">
        <v>26</v>
      </c>
      <c r="F6" s="61" t="s">
        <v>91</v>
      </c>
      <c r="G6" s="64" t="s">
        <v>92</v>
      </c>
    </row>
    <row r="7" customFormat="false" ht="15" hidden="false" customHeight="false" outlineLevel="0" collapsed="false">
      <c r="A7" s="50" t="n">
        <v>5</v>
      </c>
      <c r="B7" s="17" t="s">
        <v>25</v>
      </c>
      <c r="C7" s="17" t="s">
        <v>94</v>
      </c>
      <c r="D7" s="17" t="s">
        <v>95</v>
      </c>
      <c r="E7" s="57" t="n">
        <v>15</v>
      </c>
      <c r="F7" s="52"/>
      <c r="G7" s="51" t="s">
        <v>87</v>
      </c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G3:G200" type="list">
      <formula1>"Disponible,Próxima,Agotada,Archivada"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48" t="s">
        <v>96</v>
      </c>
      <c r="B1" s="48"/>
      <c r="C1" s="48"/>
      <c r="D1" s="48"/>
      <c r="E1" s="48"/>
      <c r="F1" s="48"/>
      <c r="G1" s="48"/>
      <c r="H1" s="48"/>
      <c r="I1" s="48"/>
    </row>
    <row r="2" customFormat="false" ht="21.75" hidden="false" customHeight="true" outlineLevel="0" collapsed="false">
      <c r="A2" s="49" t="s">
        <v>97</v>
      </c>
      <c r="B2" s="49" t="s">
        <v>98</v>
      </c>
      <c r="C2" s="49" t="s">
        <v>99</v>
      </c>
      <c r="D2" s="49" t="s">
        <v>100</v>
      </c>
      <c r="E2" s="49" t="s">
        <v>79</v>
      </c>
      <c r="F2" s="49" t="s">
        <v>10</v>
      </c>
      <c r="G2" s="49" t="s">
        <v>101</v>
      </c>
      <c r="H2" s="49" t="s">
        <v>16</v>
      </c>
      <c r="I2" s="49" t="s">
        <v>14</v>
      </c>
    </row>
    <row r="3" customFormat="false" ht="15" hidden="false" customHeight="false" outlineLevel="0" collapsed="false">
      <c r="A3" s="50" t="n">
        <v>1001</v>
      </c>
      <c r="B3" s="52" t="s">
        <v>102</v>
      </c>
      <c r="C3" s="50" t="n">
        <v>1</v>
      </c>
      <c r="D3" s="17" t="s">
        <v>49</v>
      </c>
      <c r="E3" s="50" t="n">
        <v>1</v>
      </c>
      <c r="F3" s="17" t="s">
        <v>17</v>
      </c>
      <c r="G3" s="50" t="n">
        <v>1</v>
      </c>
      <c r="H3" s="57" t="n">
        <v>18</v>
      </c>
      <c r="I3" s="51" t="s">
        <v>20</v>
      </c>
    </row>
    <row r="4" customFormat="false" ht="15" hidden="false" customHeight="false" outlineLevel="0" collapsed="false">
      <c r="A4" s="65" t="n">
        <v>1002</v>
      </c>
      <c r="B4" s="66" t="s">
        <v>102</v>
      </c>
      <c r="C4" s="65" t="n">
        <v>2</v>
      </c>
      <c r="D4" s="67" t="s">
        <v>56</v>
      </c>
      <c r="E4" s="65" t="n">
        <v>2</v>
      </c>
      <c r="F4" s="67" t="s">
        <v>19</v>
      </c>
      <c r="G4" s="65" t="n">
        <v>1</v>
      </c>
      <c r="H4" s="68" t="n">
        <v>25</v>
      </c>
      <c r="I4" s="69" t="s">
        <v>20</v>
      </c>
    </row>
    <row r="5" customFormat="false" ht="15" hidden="false" customHeight="false" outlineLevel="0" collapsed="false">
      <c r="A5" s="50" t="n">
        <v>1003</v>
      </c>
      <c r="B5" s="52" t="s">
        <v>102</v>
      </c>
      <c r="C5" s="50" t="n">
        <v>3</v>
      </c>
      <c r="D5" s="17" t="s">
        <v>62</v>
      </c>
      <c r="E5" s="50" t="n">
        <v>1</v>
      </c>
      <c r="F5" s="17" t="s">
        <v>17</v>
      </c>
      <c r="G5" s="50" t="n">
        <v>2</v>
      </c>
      <c r="H5" s="57" t="n">
        <v>36</v>
      </c>
      <c r="I5" s="51" t="s">
        <v>20</v>
      </c>
    </row>
    <row r="6" customFormat="false" ht="15" hidden="false" customHeight="false" outlineLevel="0" collapsed="false">
      <c r="A6" s="65" t="n">
        <v>1004</v>
      </c>
      <c r="B6" s="66" t="s">
        <v>103</v>
      </c>
      <c r="C6" s="65" t="n">
        <v>1</v>
      </c>
      <c r="D6" s="67" t="s">
        <v>49</v>
      </c>
      <c r="E6" s="65" t="n">
        <v>5</v>
      </c>
      <c r="F6" s="67" t="s">
        <v>25</v>
      </c>
      <c r="G6" s="65" t="n">
        <v>1</v>
      </c>
      <c r="H6" s="68" t="n">
        <v>15</v>
      </c>
      <c r="I6" s="69" t="s">
        <v>20</v>
      </c>
    </row>
    <row r="7" customFormat="false" ht="15" hidden="false" customHeight="false" outlineLevel="0" collapsed="false">
      <c r="A7" s="50" t="n">
        <v>1005</v>
      </c>
      <c r="B7" s="52" t="s">
        <v>103</v>
      </c>
      <c r="C7" s="50" t="n">
        <v>5</v>
      </c>
      <c r="D7" s="17" t="s">
        <v>73</v>
      </c>
      <c r="E7" s="50" t="n">
        <v>2</v>
      </c>
      <c r="F7" s="17" t="s">
        <v>19</v>
      </c>
      <c r="G7" s="50" t="n">
        <v>1</v>
      </c>
      <c r="H7" s="57" t="n">
        <v>25</v>
      </c>
      <c r="I7" s="63" t="s">
        <v>18</v>
      </c>
    </row>
    <row r="8" customFormat="false" ht="15" hidden="false" customHeight="false" outlineLevel="0" collapsed="false">
      <c r="A8" s="65" t="n">
        <v>1006</v>
      </c>
      <c r="B8" s="66" t="s">
        <v>104</v>
      </c>
      <c r="C8" s="65" t="n">
        <v>2</v>
      </c>
      <c r="D8" s="67" t="s">
        <v>56</v>
      </c>
      <c r="E8" s="65" t="n">
        <v>1</v>
      </c>
      <c r="F8" s="67" t="s">
        <v>17</v>
      </c>
      <c r="G8" s="65" t="n">
        <v>1</v>
      </c>
      <c r="H8" s="68" t="n">
        <v>18</v>
      </c>
      <c r="I8" s="70" t="s">
        <v>18</v>
      </c>
    </row>
  </sheetData>
  <mergeCells count="1">
    <mergeCell ref="A1:I1"/>
  </mergeCells>
  <dataValidations count="1">
    <dataValidation allowBlank="true" errorStyle="stop" operator="between" showDropDown="false" showErrorMessage="false" showInputMessage="false" sqref="I3:I1008" type="list">
      <formula1>"Pendiente,Entregado,Cobrado,Cancelado"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6" min="5" style="0" width="16"/>
    <col collapsed="false" customWidth="true" hidden="false" outlineLevel="0" max="7" min="7" style="0" width="42"/>
  </cols>
  <sheetData>
    <row r="1" customFormat="false" ht="31.5" hidden="false" customHeight="true" outlineLevel="0" collapsed="false">
      <c r="A1" s="48" t="s">
        <v>105</v>
      </c>
      <c r="B1" s="48"/>
      <c r="C1" s="48"/>
      <c r="D1" s="48"/>
      <c r="E1" s="48"/>
      <c r="F1" s="48"/>
      <c r="G1" s="48"/>
    </row>
    <row r="2" customFormat="false" ht="21.75" hidden="false" customHeight="true" outlineLevel="0" collapsed="false">
      <c r="A2" s="49" t="s">
        <v>98</v>
      </c>
      <c r="B2" s="49" t="s">
        <v>99</v>
      </c>
      <c r="C2" s="49" t="s">
        <v>43</v>
      </c>
      <c r="D2" s="49" t="s">
        <v>106</v>
      </c>
      <c r="E2" s="49" t="s">
        <v>107</v>
      </c>
      <c r="F2" s="49" t="s">
        <v>108</v>
      </c>
      <c r="G2" s="49" t="s">
        <v>109</v>
      </c>
    </row>
    <row r="3" customFormat="false" ht="15" hidden="false" customHeight="false" outlineLevel="0" collapsed="false">
      <c r="A3" s="71" t="s">
        <v>110</v>
      </c>
      <c r="B3" s="50" t="n">
        <v>1</v>
      </c>
      <c r="C3" s="17" t="s">
        <v>49</v>
      </c>
      <c r="D3" s="17" t="s">
        <v>17</v>
      </c>
      <c r="E3" s="72" t="n">
        <v>5</v>
      </c>
      <c r="F3" s="17" t="s">
        <v>111</v>
      </c>
      <c r="G3" s="17" t="s">
        <v>112</v>
      </c>
    </row>
    <row r="4" customFormat="false" ht="15" hidden="false" customHeight="false" outlineLevel="0" collapsed="false">
      <c r="A4" s="73" t="s">
        <v>110</v>
      </c>
      <c r="B4" s="58" t="n">
        <v>2</v>
      </c>
      <c r="C4" s="59" t="s">
        <v>56</v>
      </c>
      <c r="D4" s="59" t="s">
        <v>19</v>
      </c>
      <c r="E4" s="74" t="n">
        <v>4</v>
      </c>
      <c r="F4" s="59" t="s">
        <v>111</v>
      </c>
      <c r="G4" s="59" t="s">
        <v>113</v>
      </c>
    </row>
    <row r="5" customFormat="false" ht="15" hidden="false" customHeight="false" outlineLevel="0" collapsed="false">
      <c r="A5" s="71" t="s">
        <v>110</v>
      </c>
      <c r="B5" s="50" t="n">
        <v>3</v>
      </c>
      <c r="C5" s="17" t="s">
        <v>62</v>
      </c>
      <c r="D5" s="17" t="s">
        <v>17</v>
      </c>
      <c r="E5" s="72" t="n">
        <v>5</v>
      </c>
      <c r="F5" s="17" t="s">
        <v>111</v>
      </c>
      <c r="G5" s="17" t="s">
        <v>114</v>
      </c>
    </row>
    <row r="6" customFormat="false" ht="15" hidden="false" customHeight="false" outlineLevel="0" collapsed="false">
      <c r="A6" s="73" t="s">
        <v>115</v>
      </c>
      <c r="B6" s="58" t="n">
        <v>1</v>
      </c>
      <c r="C6" s="59" t="s">
        <v>49</v>
      </c>
      <c r="D6" s="59" t="s">
        <v>25</v>
      </c>
      <c r="E6" s="74" t="n">
        <v>4</v>
      </c>
      <c r="F6" s="59" t="s">
        <v>111</v>
      </c>
      <c r="G6" s="59" t="s">
        <v>116</v>
      </c>
    </row>
    <row r="7" customFormat="false" ht="15" hidden="false" customHeight="false" outlineLevel="0" collapsed="false">
      <c r="A7" s="71" t="s">
        <v>115</v>
      </c>
      <c r="B7" s="50" t="n">
        <v>5</v>
      </c>
      <c r="C7" s="17" t="s">
        <v>73</v>
      </c>
      <c r="D7" s="17" t="s">
        <v>19</v>
      </c>
      <c r="E7" s="75" t="n">
        <v>3</v>
      </c>
      <c r="F7" s="17" t="s">
        <v>117</v>
      </c>
      <c r="G7" s="17" t="s">
        <v>118</v>
      </c>
    </row>
  </sheetData>
  <mergeCells count="1">
    <mergeCell ref="A1:G1"/>
  </mergeCells>
  <dataValidations count="2">
    <dataValidation allowBlank="false" errorStyle="stop" operator="between" showDropDown="false" showErrorMessage="false" showInputMessage="false" sqref="E3:E1007" type="whole">
      <formula1>1</formula1>
      <formula2>5</formula2>
    </dataValidation>
    <dataValidation allowBlank="true" errorStyle="stop" operator="between" showDropDown="false" showErrorMessage="false" showInputMessage="false" sqref="F3:F1007" type="list">
      <formula1>"Sí,No,Quizás"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2026-06-24T09:44:00Z</dcterms:created>
  <dc:creator>openpyxl</dc:creator>
  <dc:description/>
  <dc:language>en-US</dc:language>
  <cp:lastModifiedBy/>
  <dcterms:modified xsi:type="dcterms:W3CDTF">2026-06-24T09:44:00Z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